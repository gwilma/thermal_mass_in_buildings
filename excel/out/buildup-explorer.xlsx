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Engine" sheetId="2" state="visible" r:id="rId4"/>
    <sheet name="Calculator" sheetId="3" state="visible" r:id="rId5"/>
    <sheet name="Library results" sheetId="4" state="visible" r:id="rId6"/>
    <sheet name="Library" sheetId="5" state="visible" r:id="rId7"/>
    <sheet name="Materials" sheetId="6" state="visible" r:id="rId8"/>
    <sheet name="Class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<sst xmlns="http://schemas.openxmlformats.org/spreadsheetml/2006/main" count="3154" uniqueCount="284">
  <si>
    <t xml:space="preserve">Build-up Explorer (thermal mass toolkit, model 1)</t>
  </si>
  <si>
    <t xml:space="preserve">What it does:</t>
  </si>
  <si>
    <t xml:space="preserve">Computes the ISO 13786 dynamic thermal properties of a layered wall, floor or roof (U, admittance |Y| and its time lead, decrement factor f and time lag, internal areal heat capacity κ₁) and compares them with the ISO 52016-1 / HEM five-node lump for each mass class.</t>
  </si>
  <si>
    <t xml:space="preserve">Everything is a live formula. The heat-transfer matrices are complex numbers, built with COMPLEX, IMPRODUCT, IMSUM and IMDIV and multiplied layer by layer from the room side out.</t>
  </si>
  <si>
    <t xml:space="preserve">How to use it:</t>
  </si>
  <si>
    <t xml:space="preserve">1. Calculator: pick a build-up key in B4 (or 'Custom'), a period in B5 (24 h for the daily cycle), and optionally a five-node class in B6.</t>
  </si>
  <si>
    <t xml:space="preserve">2. Library: the 29 build-ups from the Python model, plus a Custom row at the bottom you can edit. Layer values are mm, or m²K/W for a 'Cavity'.</t>
  </si>
  <si>
    <t xml:space="preserve">3. Library results: every build-up at once, with the Python model's values alongside for checking.</t>
  </si>
  <si>
    <t xml:space="preserve">4. Materials and Classes: edit material properties or the class node shares; everything follows.</t>
  </si>
  <si>
    <t xml:space="preserve">Far side: 'ext' adds Rse = 0.04; 'ground' adds 1 m of clay soil; 'adiabatic' (half a partition) adds a very large resistance; 'room' (an intermediate floor) adds Rsi on the far face.</t>
  </si>
  <si>
    <t xml:space="preserve">Companion files: the web app Build-up Explorer and models/buildups.py in gwilma/thermal_mass_in_buildings give the same numbers.</t>
  </si>
  <si>
    <t xml:space="preserve">Colour key:</t>
  </si>
  <si>
    <t xml:space="preserve">Blue text on yellow: an input you can change.</t>
  </si>
  <si>
    <t xml:space="preserve">Black text on pale blue: a calculated result.</t>
  </si>
  <si>
    <t xml:space="preserve">Plain black: calculation steps and data.</t>
  </si>
  <si>
    <t xml:space="preserve">Calculation blocks for the Library results sheet (one ISO chain and one five-node chain per build-up)</t>
  </si>
  <si>
    <t xml:space="preserve">Period, hours</t>
  </si>
  <si>
    <t xml:space="preserve">W1</t>
  </si>
  <si>
    <t xml:space="preserve">class</t>
  </si>
  <si>
    <t xml:space="preserve">W1: ISO 13786</t>
  </si>
  <si>
    <t xml:space="preserve">row →</t>
  </si>
  <si>
    <t xml:space="preserve">far side</t>
  </si>
  <si>
    <t xml:space="preserve">Rsi</t>
  </si>
  <si>
    <t xml:space="preserve">Type</t>
  </si>
  <si>
    <t xml:space="preserve">Material</t>
  </si>
  <si>
    <t xml:space="preserve">d m</t>
  </si>
  <si>
    <t xml:space="preserve">λ</t>
  </si>
  <si>
    <t xml:space="preserve">ρ</t>
  </si>
  <si>
    <t xml:space="preserve">c</t>
  </si>
  <si>
    <t xml:space="preserve">R m²K/W</t>
  </si>
  <si>
    <t xml:space="preserve">δ m</t>
  </si>
  <si>
    <t xml:space="preserve">x = d/δ</t>
  </si>
  <si>
    <t xml:space="preserve">z11</t>
  </si>
  <si>
    <t xml:space="preserve">z12</t>
  </si>
  <si>
    <t xml:space="preserve">z21</t>
  </si>
  <si>
    <t xml:space="preserve">z22</t>
  </si>
  <si>
    <t xml:space="preserve">P11</t>
  </si>
  <si>
    <t xml:space="preserve">P12</t>
  </si>
  <si>
    <t xml:space="preserve">P21</t>
  </si>
  <si>
    <t xml:space="preserve">P22</t>
  </si>
  <si>
    <t xml:space="preserve">R part</t>
  </si>
  <si>
    <t xml:space="preserve">ρcd J/m²K</t>
  </si>
  <si>
    <t xml:space="preserve">res</t>
  </si>
  <si>
    <t xml:space="preserve">Layer 1</t>
  </si>
  <si>
    <t xml:space="preserve">Layer 2</t>
  </si>
  <si>
    <t xml:space="preserve">Layer 3</t>
  </si>
  <si>
    <t xml:space="preserve">Layer 4</t>
  </si>
  <si>
    <t xml:space="preserve">Layer 5</t>
  </si>
  <si>
    <t xml:space="preserve">Layer 6</t>
  </si>
  <si>
    <t xml:space="preserve">Layer 7</t>
  </si>
  <si>
    <t xml:space="preserve">Layer 8</t>
  </si>
  <si>
    <t xml:space="preserve">Far-side layer</t>
  </si>
  <si>
    <t xml:space="preserve">Rse</t>
  </si>
  <si>
    <t xml:space="preserve">U W/m²K</t>
  </si>
  <si>
    <t xml:space="preserve">|Y| W/m²K</t>
  </si>
  <si>
    <t xml:space="preserve">Y lead h</t>
  </si>
  <si>
    <t xml:space="preserve">f</t>
  </si>
  <si>
    <t xml:space="preserve">lag h</t>
  </si>
  <si>
    <t xml:space="preserve">κ₁ kJ/m²K</t>
  </si>
  <si>
    <t xml:space="preserve">κ total kJ/m²K</t>
  </si>
  <si>
    <t xml:space="preserve">Rc m²K/W</t>
  </si>
  <si>
    <t xml:space="preserve">W1: five-node</t>
  </si>
  <si>
    <t xml:space="preserve">Kind</t>
  </si>
  <si>
    <t xml:space="preserve">R or C</t>
  </si>
  <si>
    <t xml:space="preserve">node 5 (room side)</t>
  </si>
  <si>
    <t xml:space="preserve">cap</t>
  </si>
  <si>
    <t xml:space="preserve">6/Rc</t>
  </si>
  <si>
    <t xml:space="preserve">node 4</t>
  </si>
  <si>
    <t xml:space="preserve">3/Rc</t>
  </si>
  <si>
    <t xml:space="preserve">node 3</t>
  </si>
  <si>
    <t xml:space="preserve">node 2</t>
  </si>
  <si>
    <t xml:space="preserve">node 1 (outer)</t>
  </si>
  <si>
    <t xml:space="preserve">far-side layer</t>
  </si>
  <si>
    <t xml:space="preserve">as ISO</t>
  </si>
  <si>
    <t xml:space="preserve">|Y| five-node W/m²K</t>
  </si>
  <si>
    <t xml:space="preserve">W2</t>
  </si>
  <si>
    <t xml:space="preserve">W2: ISO 13786</t>
  </si>
  <si>
    <t xml:space="preserve">W2: five-node</t>
  </si>
  <si>
    <t xml:space="preserve">W3</t>
  </si>
  <si>
    <t xml:space="preserve">W3: ISO 13786</t>
  </si>
  <si>
    <t xml:space="preserve">W3: five-node</t>
  </si>
  <si>
    <t xml:space="preserve">W4</t>
  </si>
  <si>
    <t xml:space="preserve">W4: ISO 13786</t>
  </si>
  <si>
    <t xml:space="preserve">W4: five-node</t>
  </si>
  <si>
    <t xml:space="preserve">W5</t>
  </si>
  <si>
    <t xml:space="preserve">W5: ISO 13786</t>
  </si>
  <si>
    <t xml:space="preserve">W5: five-node</t>
  </si>
  <si>
    <t xml:space="preserve">W6</t>
  </si>
  <si>
    <t xml:space="preserve">W6: ISO 13786</t>
  </si>
  <si>
    <t xml:space="preserve">W6: five-node</t>
  </si>
  <si>
    <t xml:space="preserve">W7</t>
  </si>
  <si>
    <t xml:space="preserve">W7: ISO 13786</t>
  </si>
  <si>
    <t xml:space="preserve">W7: five-node</t>
  </si>
  <si>
    <t xml:space="preserve">W8</t>
  </si>
  <si>
    <t xml:space="preserve">W8: ISO 13786</t>
  </si>
  <si>
    <t xml:space="preserve">W8: five-node</t>
  </si>
  <si>
    <t xml:space="preserve">W9</t>
  </si>
  <si>
    <t xml:space="preserve">W9: ISO 13786</t>
  </si>
  <si>
    <t xml:space="preserve">W9: five-node</t>
  </si>
  <si>
    <t xml:space="preserve">W10</t>
  </si>
  <si>
    <t xml:space="preserve">W10: ISO 13786</t>
  </si>
  <si>
    <t xml:space="preserve">W10: five-node</t>
  </si>
  <si>
    <t xml:space="preserve">W11</t>
  </si>
  <si>
    <t xml:space="preserve">W11: ISO 13786</t>
  </si>
  <si>
    <t xml:space="preserve">W11: five-node</t>
  </si>
  <si>
    <t xml:space="preserve">W12</t>
  </si>
  <si>
    <t xml:space="preserve">W12: ISO 13786</t>
  </si>
  <si>
    <t xml:space="preserve">W12: five-node</t>
  </si>
  <si>
    <t xml:space="preserve">W13</t>
  </si>
  <si>
    <t xml:space="preserve">W13: ISO 13786</t>
  </si>
  <si>
    <t xml:space="preserve">W13: five-node</t>
  </si>
  <si>
    <t xml:space="preserve">W14</t>
  </si>
  <si>
    <t xml:space="preserve">W14: ISO 13786</t>
  </si>
  <si>
    <t xml:space="preserve">W14: five-node</t>
  </si>
  <si>
    <t xml:space="preserve">W15</t>
  </si>
  <si>
    <t xml:space="preserve">W15: ISO 13786</t>
  </si>
  <si>
    <t xml:space="preserve">W15: five-node</t>
  </si>
  <si>
    <t xml:space="preserve">F1</t>
  </si>
  <si>
    <t xml:space="preserve">F1: ISO 13786</t>
  </si>
  <si>
    <t xml:space="preserve">F1: five-node</t>
  </si>
  <si>
    <t xml:space="preserve">F2</t>
  </si>
  <si>
    <t xml:space="preserve">F2: ISO 13786</t>
  </si>
  <si>
    <t xml:space="preserve">F2: five-node</t>
  </si>
  <si>
    <t xml:space="preserve">F3</t>
  </si>
  <si>
    <t xml:space="preserve">F3: ISO 13786</t>
  </si>
  <si>
    <t xml:space="preserve">F3: five-node</t>
  </si>
  <si>
    <t xml:space="preserve">F4</t>
  </si>
  <si>
    <t xml:space="preserve">F4: ISO 13786</t>
  </si>
  <si>
    <t xml:space="preserve">F4: five-node</t>
  </si>
  <si>
    <t xml:space="preserve">I1</t>
  </si>
  <si>
    <t xml:space="preserve">I1: ISO 13786</t>
  </si>
  <si>
    <t xml:space="preserve">I1: five-node</t>
  </si>
  <si>
    <t xml:space="preserve">I2</t>
  </si>
  <si>
    <t xml:space="preserve">I2: ISO 13786</t>
  </si>
  <si>
    <t xml:space="preserve">I2: five-node</t>
  </si>
  <si>
    <t xml:space="preserve">I3</t>
  </si>
  <si>
    <t xml:space="preserve">I3: ISO 13786</t>
  </si>
  <si>
    <t xml:space="preserve">I3: five-node</t>
  </si>
  <si>
    <t xml:space="preserve">P1</t>
  </si>
  <si>
    <t xml:space="preserve">P1: ISO 13786</t>
  </si>
  <si>
    <t xml:space="preserve">P1: five-node</t>
  </si>
  <si>
    <t xml:space="preserve">P2</t>
  </si>
  <si>
    <t xml:space="preserve">P2: ISO 13786</t>
  </si>
  <si>
    <t xml:space="preserve">P2: five-node</t>
  </si>
  <si>
    <t xml:space="preserve">P3</t>
  </si>
  <si>
    <t xml:space="preserve">P3: ISO 13786</t>
  </si>
  <si>
    <t xml:space="preserve">P3: five-node</t>
  </si>
  <si>
    <t xml:space="preserve">P4</t>
  </si>
  <si>
    <t xml:space="preserve">P4: ISO 13786</t>
  </si>
  <si>
    <t xml:space="preserve">P4: five-node</t>
  </si>
  <si>
    <t xml:space="preserve">P5</t>
  </si>
  <si>
    <t xml:space="preserve">P5: ISO 13786</t>
  </si>
  <si>
    <t xml:space="preserve">P5: five-node</t>
  </si>
  <si>
    <t xml:space="preserve">R1</t>
  </si>
  <si>
    <t xml:space="preserve">R1: ISO 13786</t>
  </si>
  <si>
    <t xml:space="preserve">R1: five-node</t>
  </si>
  <si>
    <t xml:space="preserve">R2</t>
  </si>
  <si>
    <t xml:space="preserve">R2: ISO 13786</t>
  </si>
  <si>
    <t xml:space="preserve">R2: five-node</t>
  </si>
  <si>
    <t xml:space="preserve">Custom</t>
  </si>
  <si>
    <t xml:space="preserve">Custom: ISO 13786</t>
  </si>
  <si>
    <t xml:space="preserve">Custom: five-node</t>
  </si>
  <si>
    <t xml:space="preserve">Build-up calculator</t>
  </si>
  <si>
    <t xml:space="preserve">Choose a build-up (or 'Custom' to use your own row on the Library sheet) and a period. Everything below recalculates.</t>
  </si>
  <si>
    <t xml:space="preserve">Build-up key</t>
  </si>
  <si>
    <t xml:space="preserve">Results</t>
  </si>
  <si>
    <t xml:space="preserve">Five-node |Y| (class)</t>
  </si>
  <si>
    <t xml:space="preserve">Five-node class</t>
  </si>
  <si>
    <t xml:space="preserve">rule</t>
  </si>
  <si>
    <t xml:space="preserve">← class used below</t>
  </si>
  <si>
    <t xml:space="preserve">ISO 13786 matrix chain (room side first)</t>
  </si>
  <si>
    <t xml:space="preserve">Five-node chain for the chosen class</t>
  </si>
  <si>
    <t xml:space="preserve">Five-node |Y| by class, same period</t>
  </si>
  <si>
    <t xml:space="preserve">Class</t>
  </si>
  <si>
    <t xml:space="preserve">÷ ISO</t>
  </si>
  <si>
    <t xml:space="preserve">I</t>
  </si>
  <si>
    <t xml:space="preserve">E</t>
  </si>
  <si>
    <t xml:space="preserve">IE</t>
  </si>
  <si>
    <t xml:space="preserve">D</t>
  </si>
  <si>
    <t xml:space="preserve">M</t>
  </si>
  <si>
    <t xml:space="preserve">ISO 13786</t>
  </si>
  <si>
    <t xml:space="preserve">Five-node chain, class I</t>
  </si>
  <si>
    <t xml:space="preserve">Five-node chain, class E</t>
  </si>
  <si>
    <t xml:space="preserve">Five-node chain, class IE</t>
  </si>
  <si>
    <t xml:space="preserve">Five-node chain, class D</t>
  </si>
  <si>
    <t xml:space="preserve">Five-node chain, class M</t>
  </si>
  <si>
    <t xml:space="preserve">All build-ups at the period on the Engine sheet (24 h)</t>
  </si>
  <si>
    <t xml:space="preserve">Live formulas. The last two columns are the Python model's values for the same build-up, for checking.</t>
  </si>
  <si>
    <t xml:space="preserve">Key</t>
  </si>
  <si>
    <t xml:space="preserve">Build-up</t>
  </si>
  <si>
    <t xml:space="preserve">U</t>
  </si>
  <si>
    <t xml:space="preserve">|Y|</t>
  </si>
  <si>
    <t xml:space="preserve">κ₁</t>
  </si>
  <si>
    <t xml:space="preserve">κ total</t>
  </si>
  <si>
    <t xml:space="preserve">Five-node |Y|</t>
  </si>
  <si>
    <t xml:space="preserve">5-node ÷ ISO</t>
  </si>
  <si>
    <t xml:space="preserve">Python |Y|</t>
  </si>
  <si>
    <t xml:space="preserve">Python 5-node |Y|</t>
  </si>
  <si>
    <t xml:space="preserve">Build-up library</t>
  </si>
  <si>
    <t xml:space="preserve">Layers run from the room side outwards. Value is thickness in mm for a material, or resistance in m²K/W for a 'Cavity'. Far side: ext, ground, adiabatic or room. The last row is yours to edit.</t>
  </si>
  <si>
    <t xml:space="preserve">Far side</t>
  </si>
  <si>
    <t xml:space="preserve">Class (rule)</t>
  </si>
  <si>
    <t xml:space="preserve">mm or R</t>
  </si>
  <si>
    <t xml:space="preserve">Cavity: wet plaster, 100 dense block, 150 MW, brick</t>
  </si>
  <si>
    <t xml:space="preserve">wall</t>
  </si>
  <si>
    <t xml:space="preserve">ext</t>
  </si>
  <si>
    <t xml:space="preserve">gypsum plaster</t>
  </si>
  <si>
    <t xml:space="preserve">dense block</t>
  </si>
  <si>
    <t xml:space="preserve">mineral wool</t>
  </si>
  <si>
    <t xml:space="preserve">brick</t>
  </si>
  <si>
    <t xml:space="preserve">Cavity: board on dabs, 100 dense block, 150 MW, brick</t>
  </si>
  <si>
    <t xml:space="preserve">plasterboard</t>
  </si>
  <si>
    <t xml:space="preserve">Cavity</t>
  </si>
  <si>
    <t xml:space="preserve">Cavity: wet plaster, 100 aircrete, 150 MW, brick</t>
  </si>
  <si>
    <t xml:space="preserve">aerated block</t>
  </si>
  <si>
    <t xml:space="preserve">Cavity: board on dabs, 100 aircrete, 150 MW, brick</t>
  </si>
  <si>
    <t xml:space="preserve">Timber frame: board, 140 MW studs, OSB, cavity, brick</t>
  </si>
  <si>
    <t xml:space="preserve">mineral wool + studs</t>
  </si>
  <si>
    <t xml:space="preserve">OSB</t>
  </si>
  <si>
    <t xml:space="preserve">Timber frame: board, 140 MW studs, 60 wood fibre, render</t>
  </si>
  <si>
    <t xml:space="preserve">wood fibre</t>
  </si>
  <si>
    <t xml:space="preserve">render</t>
  </si>
  <si>
    <t xml:space="preserve">SIPs: board, OSB, 142 PUR, OSB, ventilated cladding</t>
  </si>
  <si>
    <t xml:space="preserve">PIR</t>
  </si>
  <si>
    <t xml:space="preserve">Exposed 100 CLT, 160 wood fibre, render</t>
  </si>
  <si>
    <t xml:space="preserve">CLT</t>
  </si>
  <si>
    <t xml:space="preserve">Lined CLT: board, 100 CLT, 160 MW, cladding</t>
  </si>
  <si>
    <t xml:space="preserve">ICF: board on dabs, 70 EPS, 150 concrete, 70 EPS, render</t>
  </si>
  <si>
    <t xml:space="preserve">EPS</t>
  </si>
  <si>
    <t xml:space="preserve">dense concrete</t>
  </si>
  <si>
    <t xml:space="preserve">Solid 215 brick, wet plaster, uninsulated</t>
  </si>
  <si>
    <t xml:space="preserve">Solid brick + IWI: board, 80 PIR, 215 brick</t>
  </si>
  <si>
    <t xml:space="preserve">Solid brick + EWI: plaster, 215 brick, 100 EPS, render</t>
  </si>
  <si>
    <t xml:space="preserve">Hempcrete: lime plaster, 300 hempcrete, lime render</t>
  </si>
  <si>
    <t xml:space="preserve">lime plaster</t>
  </si>
  <si>
    <t xml:space="preserve">hempcrete</t>
  </si>
  <si>
    <t xml:space="preserve">Exposed 300 rammed earth, 120 wood fibre, render</t>
  </si>
  <si>
    <t xml:space="preserve">rammed earth</t>
  </si>
  <si>
    <t xml:space="preserve">65 screed on 100 PIR on slab</t>
  </si>
  <si>
    <t xml:space="preserve">floor</t>
  </si>
  <si>
    <t xml:space="preserve">ground</t>
  </si>
  <si>
    <t xml:space="preserve">screed</t>
  </si>
  <si>
    <t xml:space="preserve">Suspended timber: 22 chipboard, 150 MW, vented void</t>
  </si>
  <si>
    <t xml:space="preserve">chipboard</t>
  </si>
  <si>
    <t xml:space="preserve">Exposed 150 slab (polished) on 120 PIR</t>
  </si>
  <si>
    <t xml:space="preserve">Carpet on 65 screed on 100 PIR on slab</t>
  </si>
  <si>
    <t xml:space="preserve">carpet + underlay</t>
  </si>
  <si>
    <t xml:space="preserve">Timber joist: 22 chipboard, void, 12.5 board ceiling</t>
  </si>
  <si>
    <t xml:space="preserve">room</t>
  </si>
  <si>
    <t xml:space="preserve">Concrete: 50 screed, 150 plank, exposed soffit</t>
  </si>
  <si>
    <t xml:space="preserve">precast plank</t>
  </si>
  <si>
    <t xml:space="preserve">Exposed 160 CLT floor, 50 screed on top</t>
  </si>
  <si>
    <t xml:space="preserve">Stud partition: 12.5 board each side (half)</t>
  </si>
  <si>
    <t xml:space="preserve">partition</t>
  </si>
  <si>
    <t xml:space="preserve">adiabatic</t>
  </si>
  <si>
    <t xml:space="preserve">100 dense block, wet plaster both sides (half)</t>
  </si>
  <si>
    <t xml:space="preserve">100 aircrete, wet plaster both sides (half)</t>
  </si>
  <si>
    <t xml:space="preserve">Party wall: plaster, 100 dense block leaf (cavity behind)</t>
  </si>
  <si>
    <t xml:space="preserve">Party wall: board, 90 MW studs (timber frame twin stud)</t>
  </si>
  <si>
    <t xml:space="preserve">12.5 board ceiling under 300 MW (cold loft)</t>
  </si>
  <si>
    <t xml:space="preserve">ceiling</t>
  </si>
  <si>
    <t xml:space="preserve">Exposed 200 concrete roof slab, 150 PIR</t>
  </si>
  <si>
    <t xml:space="preserve">Your build-up (edit this row)</t>
  </si>
  <si>
    <t xml:space="preserve">Materials</t>
  </si>
  <si>
    <t xml:space="preserve">Typical design values (CIBSE Guide A, ISO 10456, manufacturers' data). Edit the blue cells to use product data.</t>
  </si>
  <si>
    <t xml:space="preserve">λ W/mK</t>
  </si>
  <si>
    <t xml:space="preserve">ρ kg/m³</t>
  </si>
  <si>
    <t xml:space="preserve">c J/kgK</t>
  </si>
  <si>
    <t xml:space="preserve">α mm²/s</t>
  </si>
  <si>
    <t xml:space="preserve">b J/m²K s½</t>
  </si>
  <si>
    <t xml:space="preserve">δ (24 h) mm</t>
  </si>
  <si>
    <t xml:space="preserve">Layer choices</t>
  </si>
  <si>
    <t xml:space="preserve">medium block</t>
  </si>
  <si>
    <t xml:space="preserve">timber</t>
  </si>
  <si>
    <t xml:space="preserve">clay soil</t>
  </si>
  <si>
    <t xml:space="preserve">α = λ/ρc (diffusivity); b = √(λρc) (effusivity); δ = √(λT/πρc), the periodic penetration depth for a 24 h cycle.</t>
  </si>
  <si>
    <t xml:space="preserve">Five-node mass classes (ISO 52016-1 / HEM)</t>
  </si>
  <si>
    <t xml:space="preserve">Share of the element's total areal heat capacity placed on each node. Node 1 is the outer node, node 5 the room-side surface node.</t>
  </si>
  <si>
    <t xml:space="preserve">Node 1 (outer)</t>
  </si>
  <si>
    <t xml:space="preserve">Node 2</t>
  </si>
  <si>
    <t xml:space="preserve">Node 3</t>
  </si>
  <si>
    <t xml:space="preserve">Node 4</t>
  </si>
  <si>
    <t xml:space="preserve">Node 5 (room)</t>
  </si>
  <si>
    <t xml:space="preserve">I internal, E external, IE internal and external, D distributed, M middle. Conductances between nodes are 6/Rc, 3/Rc, 3/Rc, 6/Rc.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</si>
</sst>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000"/>
    <numFmt numFmtId="167" formatCode="0"/>
    <numFmt numFmtId="168" formatCode="0.00"/>
    <numFmt numFmtId="169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E8F1F6"/>
        <bgColor rgb="FFFFFFFF"/>
      </patternFill>
    </fill>
    <fill>
      <patternFill patternType="solid">
        <fgColor rgb="FF2F3B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D0"/>
      </left>
      <right style="thin">
        <color rgb="FFC8CED0"/>
      </right>
      <top style="thin">
        <color rgb="FFC8CED0"/>
      </top>
      <bottom style="thin">
        <color rgb="FFC8CE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D0"/>
      <rgbColor rgb="FF808080"/>
      <rgbColor rgb="FF9999FF"/>
      <rgbColor rgb="FF993366"/>
      <rgbColor rgb="FFFFF6CC"/>
      <rgbColor rgb="FFE8F1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35.0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3" t="s">
        <v>5</v>
      </c>
    </row>
    <row r="10" customFormat="false" ht="23.8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/>
    </row>
    <row r="14" customFormat="false" ht="23.8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 t="s">
        <v>10</v>
      </c>
    </row>
    <row r="17" customFormat="false" ht="15" hidden="false" customHeight="false" outlineLevel="0" collapsed="false">
      <c r="B17" s="4" t="s">
        <v>11</v>
      </c>
    </row>
    <row r="18" customFormat="false" ht="15" hidden="false" customHeight="false" outlineLevel="0" collapsed="false">
      <c r="B18" s="5" t="s">
        <v>12</v>
      </c>
    </row>
    <row r="19" customFormat="false" ht="15" hidden="false" customHeight="false" outlineLevel="0" collapsed="false">
      <c r="B19" s="6" t="s">
        <v>13</v>
      </c>
    </row>
    <row r="20" customFormat="false" ht="15" hidden="false" customHeight="false" outlineLevel="0" collapsed="false">
      <c r="B20" s="7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5" min="1" style="0" width="12"/>
  </cols>
  <sheetData>
    <row r="1" customFormat="false" ht="15" hidden="false" customHeight="false" outlineLevel="0" collapsed="false">
      <c r="A1" s="4" t="s">
        <v>15</v>
      </c>
    </row>
    <row r="2" customFormat="false" ht="15" hidden="false" customHeight="false" outlineLevel="0" collapsed="false">
      <c r="A2" s="4" t="s">
        <v>16</v>
      </c>
      <c r="B2" s="8" t="n">
        <v>24</v>
      </c>
    </row>
    <row r="5" customFormat="false" ht="15" hidden="false" customHeight="false" outlineLevel="0" collapsed="false">
      <c r="A5" s="4" t="s">
        <v>17</v>
      </c>
      <c r="B5" s="9" t="s">
        <v>18</v>
      </c>
      <c r="C5" s="7" t="str">
        <f aca="false">INDEX(Library!$F$5:$F$34,MATCH(A5,Library!$A$5:$A$34,0))</f>
        <v>IE</v>
      </c>
    </row>
    <row r="6" customFormat="false" ht="15" hidden="false" customHeight="false" outlineLevel="0" collapsed="false">
      <c r="A6" s="4" t="s">
        <v>19</v>
      </c>
      <c r="T6" s="9" t="s">
        <v>20</v>
      </c>
      <c r="U6" s="7" t="n">
        <f aca="false">MATCH($A$5,Library!$A$5:$A$34,0)</f>
        <v>1</v>
      </c>
      <c r="V6" s="9" t="s">
        <v>21</v>
      </c>
      <c r="W6" s="7" t="str">
        <f aca="false">INDEX(Library!$D$5:$D$34,$U$6)</f>
        <v>ext</v>
      </c>
      <c r="X6" s="9" t="s">
        <v>22</v>
      </c>
      <c r="Y6" s="7" t="n">
        <f aca="false">INDEX(Library!$E$5:$E$34,$U$6)</f>
        <v>0.13</v>
      </c>
    </row>
    <row r="7" customFormat="false" ht="15" hidden="false" customHeight="false" outlineLevel="0" collapsed="false">
      <c r="A7" s="9"/>
      <c r="B7" s="9" t="s">
        <v>23</v>
      </c>
      <c r="C7" s="9" t="s">
        <v>24</v>
      </c>
      <c r="D7" s="9" t="s">
        <v>25</v>
      </c>
      <c r="E7" s="9" t="s">
        <v>26</v>
      </c>
      <c r="F7" s="9" t="s">
        <v>27</v>
      </c>
      <c r="G7" s="9" t="s">
        <v>28</v>
      </c>
      <c r="H7" s="9" t="s">
        <v>29</v>
      </c>
      <c r="I7" s="9" t="s">
        <v>30</v>
      </c>
      <c r="J7" s="9" t="s">
        <v>31</v>
      </c>
      <c r="K7" s="9" t="s">
        <v>32</v>
      </c>
      <c r="L7" s="9" t="s">
        <v>33</v>
      </c>
      <c r="M7" s="9" t="s">
        <v>34</v>
      </c>
      <c r="N7" s="9" t="s">
        <v>35</v>
      </c>
      <c r="O7" s="9" t="s">
        <v>36</v>
      </c>
      <c r="P7" s="9" t="s">
        <v>37</v>
      </c>
      <c r="Q7" s="9" t="s">
        <v>38</v>
      </c>
      <c r="R7" s="9" t="s">
        <v>39</v>
      </c>
      <c r="S7" s="9" t="s">
        <v>40</v>
      </c>
      <c r="T7" s="9" t="s">
        <v>41</v>
      </c>
    </row>
    <row r="8" customFormat="false" ht="15" hidden="false" customHeight="false" outlineLevel="0" collapsed="false">
      <c r="A8" s="7" t="s">
        <v>22</v>
      </c>
      <c r="B8" s="7" t="s">
        <v>42</v>
      </c>
      <c r="H8" s="10" t="n">
        <f aca="false">$Y$6</f>
        <v>0.13</v>
      </c>
      <c r="I8" s="11" t="n">
        <f aca="false">IF(B8="mass",SQRT(E8*($B$2*3600)/(PI()*F8*G8)),0)</f>
        <v>0</v>
      </c>
      <c r="J8" s="10" t="n">
        <f aca="false">IF(B8="mass",D8/I8,0)</f>
        <v>0</v>
      </c>
      <c r="K8" s="7" t="str">
        <f aca="false">IF(B8="mass",COMPLEX(COSH(J8)*COS(J8),SINH(J8)*SIN(J8)),COMPLEX(1,0))</f>
        <v>1</v>
      </c>
      <c r="L8" s="7" t="str">
        <f aca="false">IF(B8="mass",COMPLEX(-I8/(2*E8)*(SINH(J8)*COS(J8)+COSH(J8)*SIN(J8)),-I8/(2*E8)*(COSH(J8)*SIN(J8)-SINH(J8)*COS(J8))),COMPLEX(-H8,0))</f>
        <v>-0.13</v>
      </c>
      <c r="M8" s="7" t="str">
        <f aca="false">IF(B8="mass",COMPLEX(-E8/I8*(SINH(J8)*COS(J8)-COSH(J8)*SIN(J8)),-E8/I8*(SINH(J8)*COS(J8)+COSH(J8)*SIN(J8))),COMPLEX(0,0))</f>
        <v>0</v>
      </c>
      <c r="N8" s="7" t="str">
        <f aca="false">K8</f>
        <v>1</v>
      </c>
      <c r="O8" s="7" t="str">
        <f aca="false">K8</f>
        <v>1</v>
      </c>
      <c r="P8" s="7" t="str">
        <f aca="false">L8</f>
        <v>-0.13</v>
      </c>
      <c r="Q8" s="7" t="str">
        <f aca="false">M8</f>
        <v>0</v>
      </c>
      <c r="R8" s="7" t="str">
        <f aca="false">N8</f>
        <v>1</v>
      </c>
      <c r="S8" s="10" t="n">
        <f aca="false">IF(B8="mass",D8/E8,H8)</f>
        <v>0.13</v>
      </c>
      <c r="T8" s="12" t="n">
        <f aca="false">IF(B8="mass",F8*G8*D8,0)</f>
        <v>0</v>
      </c>
    </row>
    <row r="9" customFormat="false" ht="15" hidden="false" customHeight="false" outlineLevel="0" collapsed="false">
      <c r="A9" s="7" t="s">
        <v>43</v>
      </c>
      <c r="B9" s="7" t="str">
        <f aca="false">IF(C9="","none",IF(C9="Cavity","res","mass"))</f>
        <v>mass</v>
      </c>
      <c r="C9" s="7" t="str">
        <f aca="false">IF(INDEX(Library!$G$5:$G$34,$U$6)="","",INDEX(Library!$G$5:$G$34,$U$6))</f>
        <v>gypsum plaster</v>
      </c>
      <c r="D9" s="11" t="n">
        <f aca="false">IF(B9="mass",INDEX(Library!$H$5:$H$34,$U$6)/1000,0)</f>
        <v>0.013</v>
      </c>
      <c r="E9" s="7" t="n">
        <f aca="false">IF(B9="mass",INDEX(Materials!$B$5:$B$28,MATCH(C9,Materials!$A$5:$A$28,0)),0)</f>
        <v>0.5</v>
      </c>
      <c r="F9" s="7" t="n">
        <f aca="false">IF(B9="mass",INDEX(Materials!$C$5:$C$28,MATCH(C9,Materials!$A$5:$A$28,0)),0)</f>
        <v>1300</v>
      </c>
      <c r="G9" s="7" t="n">
        <f aca="false">IF(B9="mass",INDEX(Materials!$D$5:$D$28,MATCH(C9,Materials!$A$5:$A$28,0)),0)</f>
        <v>1000</v>
      </c>
      <c r="H9" s="10" t="n">
        <f aca="false">IF(B9="res",INDEX(Library!$H$5:$H$34,$U$6),0)</f>
        <v>0</v>
      </c>
      <c r="I9" s="11" t="n">
        <f aca="false">IF(B9="mass",SQRT(E9*($B$2*3600)/(PI()*F9*G9)),0)</f>
        <v>0.102847860316323</v>
      </c>
      <c r="J9" s="10" t="n">
        <f aca="false">IF(B9="mass",D9/I9,0)</f>
        <v>0.126400296126887</v>
      </c>
      <c r="K9" s="7" t="str">
        <f aca="false">IF(B9="mass",COMPLEX(COSH(J9)*COS(J9),SINH(J9)*SIN(J9)),COMPLEX(1,0))</f>
        <v>0.999957455752033+0.0159769895455509i</v>
      </c>
      <c r="L9" s="7" t="str">
        <f aca="false">IF(B9="mass",COMPLEX(-I9/(2*E9)*(SINH(J9)*COS(J9)+COSH(J9)*SIN(J9)),-I9/(2*E9)*(COSH(J9)*SIN(J9)-SINH(J9)*COS(J9))),COMPLEX(-H9,0))</f>
        <v>-0.0259997787698508-0.00013846746714729i</v>
      </c>
      <c r="M9" s="7" t="str">
        <f aca="false">IF(B9="mass",COMPLEX(-E9/I9*(SINH(J9)*COS(J9)-COSH(J9)*SIN(J9)),-E9/I9*(SINH(J9)*COS(J9)+COSH(J9)*SIN(J9))),COMPLEX(0,0))</f>
        <v>0.00654526494000515-1.22899222421088i</v>
      </c>
      <c r="N9" s="7" t="str">
        <f aca="false">K9</f>
        <v>0.999957455752033+0.0159769895455509i</v>
      </c>
      <c r="O9" s="7" t="str">
        <f aca="false">IMSUM(IMPRODUCT(K9,O8),IMPRODUCT(L9,Q8))</f>
        <v>0.999957455752033+0.0159769895455509i</v>
      </c>
      <c r="P9" s="7" t="str">
        <f aca="false">IMSUM(IMPRODUCT(K9,P8),IMPRODUCT(L9,R8))</f>
        <v>-0.155994248017615-0.00221547610806891i</v>
      </c>
      <c r="Q9" s="7" t="str">
        <f aca="false">IMSUM(IMPRODUCT(M9,O8),IMPRODUCT(N9,Q8))</f>
        <v>0.00654526494000515-1.22899222421088i</v>
      </c>
      <c r="R9" s="7" t="str">
        <f aca="false">IMSUM(IMPRODUCT(M9,P8),IMPRODUCT(N9,R8))</f>
        <v>0.999106571309832+0.175745978692965i</v>
      </c>
      <c r="S9" s="10" t="n">
        <f aca="false">IF(B9="mass",D9/E9,H9)</f>
        <v>0.026</v>
      </c>
      <c r="T9" s="12" t="n">
        <f aca="false">IF(B9="mass",F9*G9*D9,0)</f>
        <v>16900</v>
      </c>
    </row>
    <row r="10" customFormat="false" ht="15" hidden="false" customHeight="false" outlineLevel="0" collapsed="false">
      <c r="A10" s="7" t="s">
        <v>44</v>
      </c>
      <c r="B10" s="7" t="str">
        <f aca="false">IF(C10="","none",IF(C10="Cavity","res","mass"))</f>
        <v>mass</v>
      </c>
      <c r="C10" s="7" t="str">
        <f aca="false">IF(INDEX(Library!$I$5:$I$34,$U$6)="","",INDEX(Library!$I$5:$I$34,$U$6))</f>
        <v>dense block</v>
      </c>
      <c r="D10" s="11" t="n">
        <f aca="false">IF(B10="mass",INDEX(Library!$J$5:$J$34,$U$6)/1000,0)</f>
        <v>0.1</v>
      </c>
      <c r="E10" s="7" t="n">
        <f aca="false">IF(B10="mass",INDEX(Materials!$B$5:$B$28,MATCH(C10,Materials!$A$5:$A$28,0)),0)</f>
        <v>1.13</v>
      </c>
      <c r="F10" s="7" t="n">
        <f aca="false">IF(B10="mass",INDEX(Materials!$C$5:$C$28,MATCH(C10,Materials!$A$5:$A$28,0)),0)</f>
        <v>2000</v>
      </c>
      <c r="G10" s="7" t="n">
        <f aca="false">IF(B10="mass",INDEX(Materials!$D$5:$D$28,MATCH(C10,Materials!$A$5:$A$28,0)),0)</f>
        <v>1000</v>
      </c>
      <c r="H10" s="10" t="n">
        <f aca="false">IF(B10="res",INDEX(Library!$J$5:$J$34,$U$6),0)</f>
        <v>0</v>
      </c>
      <c r="I10" s="11" t="n">
        <f aca="false">IF(B10="mass",SQRT(E10*($B$2*3600)/(PI()*F10*G10)),0)</f>
        <v>0.124653982703915</v>
      </c>
      <c r="J10" s="10" t="n">
        <f aca="false">IF(B10="mass",D10/I10,0)</f>
        <v>0.802220657782957</v>
      </c>
      <c r="K10" s="7" t="str">
        <f aca="false">IF(B10="mass",COMPLEX(COSH(J10)*COS(J10),SINH(J10)*SIN(J10)),COMPLEX(1,0))</f>
        <v>0.931040246556561+0.640597397168838i</v>
      </c>
      <c r="L10" s="7" t="str">
        <f aca="false">IF(B10="mass",COMPLEX(-I10/(2*E10)*(SINH(J10)*COS(J10)+COSH(J10)*SIN(J10)),-I10/(2*E10)*(COSH(J10)*SIN(J10)-SINH(J10)*COS(J10))),COMPLEX(-H10,0))</f>
        <v>-0.0872745132646335-0.0189465784438884i</v>
      </c>
      <c r="M10" s="7" t="str">
        <f aca="false">IF(B10="mass",COMPLEX(-E10/I10*(SINH(J10)*COS(J10)-COSH(J10)*SIN(J10)),-E10/I10*(SINH(J10)*COS(J10)+COSH(J10)*SIN(J10))),COMPLEX(0,0))</f>
        <v>3.11390498909631-14.3437266565329i</v>
      </c>
      <c r="N10" s="7" t="str">
        <f aca="false">K10</f>
        <v>0.931040246556561+0.640597397168838i</v>
      </c>
      <c r="O10" s="7" t="str">
        <f aca="false">IMSUM(IMPRODUCT(K10,O9),IMPRODUCT(L10,Q9))</f>
        <v>0.896909385837204+0.762581051518449i</v>
      </c>
      <c r="P10" s="7" t="str">
        <f aca="false">IMSUM(IMPRODUCT(K10,P9),IMPRODUCT(L10,R9))</f>
        <v>-0.227684449646465-0.136260002451062i</v>
      </c>
      <c r="Q10" s="7" t="str">
        <f aca="false">IMSUM(IMPRODUCT(M10,O9),IMPRODUCT(N10,Q9))</f>
        <v>4.13632520623972-15.4334139297736i</v>
      </c>
      <c r="R10" s="7" t="str">
        <f aca="false">IMSUM(IMPRODUCT(M10,P9),IMPRODUCT(N10,R9))</f>
        <v>0.300096561094385+3.03429171985891i</v>
      </c>
      <c r="S10" s="10" t="n">
        <f aca="false">IF(B10="mass",D10/E10,H10)</f>
        <v>0.088495575221239</v>
      </c>
      <c r="T10" s="12" t="n">
        <f aca="false">IF(B10="mass",F10*G10*D10,0)</f>
        <v>200000</v>
      </c>
    </row>
    <row r="11" customFormat="false" ht="15" hidden="false" customHeight="false" outlineLevel="0" collapsed="false">
      <c r="A11" s="7" t="s">
        <v>45</v>
      </c>
      <c r="B11" s="7" t="str">
        <f aca="false">IF(C11="","none",IF(C11="Cavity","res","mass"))</f>
        <v>mass</v>
      </c>
      <c r="C11" s="7" t="str">
        <f aca="false">IF(INDEX(Library!$K$5:$K$34,$U$6)="","",INDEX(Library!$K$5:$K$34,$U$6))</f>
        <v>mineral wool</v>
      </c>
      <c r="D11" s="11" t="n">
        <f aca="false">IF(B11="mass",INDEX(Library!$L$5:$L$34,$U$6)/1000,0)</f>
        <v>0.15</v>
      </c>
      <c r="E11" s="7" t="n">
        <f aca="false">IF(B11="mass",INDEX(Materials!$B$5:$B$28,MATCH(C11,Materials!$A$5:$A$28,0)),0)</f>
        <v>0.035</v>
      </c>
      <c r="F11" s="7" t="n">
        <f aca="false">IF(B11="mass",INDEX(Materials!$C$5:$C$28,MATCH(C11,Materials!$A$5:$A$28,0)),0)</f>
        <v>30</v>
      </c>
      <c r="G11" s="7" t="n">
        <f aca="false">IF(B11="mass",INDEX(Materials!$D$5:$D$28,MATCH(C11,Materials!$A$5:$A$28,0)),0)</f>
        <v>1030</v>
      </c>
      <c r="H11" s="10" t="n">
        <f aca="false">IF(B11="res",INDEX(Library!$L$5:$L$34,$U$6),0)</f>
        <v>0</v>
      </c>
      <c r="I11" s="11" t="n">
        <f aca="false">IF(B11="mass",SQRT(E11*($B$2*3600)/(PI()*F11*G11)),0)</f>
        <v>0.176496751881128</v>
      </c>
      <c r="J11" s="10" t="n">
        <f aca="false">IF(B11="mass",D11/I11,0)</f>
        <v>0.849873997120504</v>
      </c>
      <c r="K11" s="7" t="str">
        <f aca="false">IF(B11="mass",COMPLEX(COSH(J11)*COS(J11),SINH(J11)*SIN(J11)),COMPLEX(1,0))</f>
        <v>0.913158518565511+0.718100720020173i</v>
      </c>
      <c r="L11" s="7" t="str">
        <f aca="false">IF(B11="mass",COMPLEX(-I11/(2*E11)*(SINH(J11)*COS(J11)+COSH(J11)*SIN(J11)),-I11/(2*E11)*(COSH(J11)*SIN(J11)-SINH(J11)*COS(J11))),COMPLEX(-H11,0))</f>
        <v>-4.21123759620779-1.02927418634689i</v>
      </c>
      <c r="M11" s="7" t="str">
        <f aca="false">IF(B11="mass",COMPLEX(-E11/I11*(SINH(J11)*COS(J11)-COSH(J11)*SIN(J11)),-E11/I11*(SINH(J11)*COS(J11)+COSH(J11)*SIN(J11))),COMPLEX(0,0))</f>
        <v>0.0809512819555347-0.331209202129424i</v>
      </c>
      <c r="N11" s="7" t="str">
        <f aca="false">K11</f>
        <v>0.913158518565511+0.718100720020173i</v>
      </c>
      <c r="O11" s="7" t="str">
        <f aca="false">IMSUM(IMPRODUCT(K11,O10),IMPRODUCT(L11,Q10))</f>
        <v>-33.0328523398916+62.0767888768344i</v>
      </c>
      <c r="P11" s="7" t="str">
        <f aca="false">IMSUM(IMPRODUCT(K11,P10),IMPRODUCT(L11,R10))</f>
        <v>1.74927663165403-13.3749323614843i</v>
      </c>
      <c r="Q11" s="7" t="str">
        <f aca="false">IMSUM(IMPRODUCT(M11,O10),IMPRODUCT(N11,Q10))</f>
        <v>15.1850460791887-11.3581880200322i</v>
      </c>
      <c r="R11" s="7" t="str">
        <f aca="false">IMSUM(IMPRODUCT(M11,P10),IMPRODUCT(N11,R10))</f>
        <v>-1.96845325240057+3.05066965142642i</v>
      </c>
      <c r="S11" s="10" t="n">
        <f aca="false">IF(B11="mass",D11/E11,H11)</f>
        <v>4.28571428571429</v>
      </c>
      <c r="T11" s="12" t="n">
        <f aca="false">IF(B11="mass",F11*G11*D11,0)</f>
        <v>4635</v>
      </c>
    </row>
    <row r="12" customFormat="false" ht="15" hidden="false" customHeight="false" outlineLevel="0" collapsed="false">
      <c r="A12" s="7" t="s">
        <v>46</v>
      </c>
      <c r="B12" s="7" t="str">
        <f aca="false">IF(C12="","none",IF(C12="Cavity","res","mass"))</f>
        <v>mass</v>
      </c>
      <c r="C12" s="7" t="str">
        <f aca="false">IF(INDEX(Library!$M$5:$M$34,$U$6)="","",INDEX(Library!$M$5:$M$34,$U$6))</f>
        <v>brick</v>
      </c>
      <c r="D12" s="11" t="n">
        <f aca="false">IF(B12="mass",INDEX(Library!$N$5:$N$34,$U$6)/1000,0)</f>
        <v>0.102</v>
      </c>
      <c r="E12" s="7" t="n">
        <f aca="false">IF(B12="mass",INDEX(Materials!$B$5:$B$28,MATCH(C12,Materials!$A$5:$A$28,0)),0)</f>
        <v>0.77</v>
      </c>
      <c r="F12" s="7" t="n">
        <f aca="false">IF(B12="mass",INDEX(Materials!$C$5:$C$28,MATCH(C12,Materials!$A$5:$A$28,0)),0)</f>
        <v>1700</v>
      </c>
      <c r="G12" s="7" t="n">
        <f aca="false">IF(B12="mass",INDEX(Materials!$D$5:$D$28,MATCH(C12,Materials!$A$5:$A$28,0)),0)</f>
        <v>800</v>
      </c>
      <c r="H12" s="10" t="n">
        <f aca="false">IF(B12="res",INDEX(Library!$N$5:$N$34,$U$6),0)</f>
        <v>0</v>
      </c>
      <c r="I12" s="11" t="n">
        <f aca="false">IF(B12="mass",SQRT(E12*($B$2*3600)/(PI()*F12*G12)),0)</f>
        <v>0.12478369552018</v>
      </c>
      <c r="J12" s="10" t="n">
        <f aca="false">IF(B12="mass",D12/I12,0)</f>
        <v>0.81741448331689</v>
      </c>
      <c r="K12" s="7" t="str">
        <f aca="false">IF(B12="mass",COMPLEX(COSH(J12)*COS(J12),SINH(J12)*SIN(J12)),COMPLEX(1,0))</f>
        <v>0.925671349743335+0.664853161913343i</v>
      </c>
      <c r="L12" s="7" t="str">
        <f aca="false">IF(B12="mass",COMPLEX(-I12/(2*E12)*(SINH(J12)*COS(J12)+COSH(J12)*SIN(J12)),-I12/(2*E12)*(COSH(J12)*SIN(J12)-SINH(J12)*COS(J12))),COMPLEX(-H12,0))</f>
        <v>-0.130497374771535-0.0294407447988599i</v>
      </c>
      <c r="M12" s="7" t="str">
        <f aca="false">IF(B12="mass",COMPLEX(-E12/I12*(SINH(J12)*COS(J12)-COSH(J12)*SIN(J12)),-E12/I12*(SINH(J12)*COS(J12)+COSH(J12)*SIN(J12))),COMPLEX(0,0))</f>
        <v>2.24204617217389-9.93796663719564i</v>
      </c>
      <c r="N12" s="7" t="str">
        <f aca="false">K12</f>
        <v>0.925671349743335+0.664853161913343i</v>
      </c>
      <c r="O12" s="7" t="str">
        <f aca="false">IMSUM(IMPRODUCT(K12,O11),IMPRODUCT(L12,Q11))</f>
        <v>-74.1655165415243+36.5358632745572i</v>
      </c>
      <c r="P12" s="7" t="str">
        <f aca="false">IMSUM(IMPRODUCT(K12,P11),IMPRODUCT(L12,R11))</f>
        <v>10.8583133000796-11.5579312431186i</v>
      </c>
      <c r="Q12" s="7" t="str">
        <f aca="false">IMSUM(IMPRODUCT(M12,O11),IMPRODUCT(N12,Q11))</f>
        <v>564.46376597634+467.040288031813i</v>
      </c>
      <c r="R12" s="7" t="str">
        <f aca="false">IMSUM(IMPRODUCT(M12,P11),IMPRODUCT(N12,R11))</f>
        <v>-132.848060749866-45.8562835838345i</v>
      </c>
      <c r="S12" s="10" t="n">
        <f aca="false">IF(B12="mass",D12/E12,H12)</f>
        <v>0.132467532467532</v>
      </c>
      <c r="T12" s="12" t="n">
        <f aca="false">IF(B12="mass",F12*G12*D12,0)</f>
        <v>138720</v>
      </c>
    </row>
    <row r="13" customFormat="false" ht="15" hidden="false" customHeight="false" outlineLevel="0" collapsed="false">
      <c r="A13" s="7" t="s">
        <v>47</v>
      </c>
      <c r="B13" s="7" t="str">
        <f aca="false">IF(C13="","none",IF(C13="Cavity","res","mass"))</f>
        <v>none</v>
      </c>
      <c r="C13" s="7" t="str">
        <f aca="false">IF(INDEX(Library!$O$5:$O$34,$U$6)="","",INDEX(Library!$O$5:$O$34,$U$6))</f>
        <v/>
      </c>
      <c r="D13" s="11" t="n">
        <f aca="false">IF(B13="mass",INDEX(Library!$P$5:$P$34,$U$6)/1000,0)</f>
        <v>0</v>
      </c>
      <c r="E13" s="7" t="n">
        <f aca="false">IF(B13="mass",INDEX(Materials!$B$5:$B$28,MATCH(C13,Materials!$A$5:$A$28,0)),0)</f>
        <v>0</v>
      </c>
      <c r="F13" s="7" t="n">
        <f aca="false">IF(B13="mass",INDEX(Materials!$C$5:$C$28,MATCH(C13,Materials!$A$5:$A$28,0)),0)</f>
        <v>0</v>
      </c>
      <c r="G13" s="7" t="n">
        <f aca="false">IF(B13="mass",INDEX(Materials!$D$5:$D$28,MATCH(C13,Materials!$A$5:$A$28,0)),0)</f>
        <v>0</v>
      </c>
      <c r="H13" s="10" t="n">
        <f aca="false">IF(B13="res",INDEX(Library!$P$5:$P$34,$U$6),0)</f>
        <v>0</v>
      </c>
      <c r="I13" s="11" t="n">
        <f aca="false">IF(B13="mass",SQRT(E13*($B$2*3600)/(PI()*F13*G13)),0)</f>
        <v>0</v>
      </c>
      <c r="J13" s="10" t="n">
        <f aca="false">IF(B13="mass",D13/I13,0)</f>
        <v>0</v>
      </c>
      <c r="K13" s="7" t="str">
        <f aca="false">IF(B13="mass",COMPLEX(COSH(J13)*COS(J13),SINH(J13)*SIN(J13)),COMPLEX(1,0))</f>
        <v>1</v>
      </c>
      <c r="L13" s="7" t="str">
        <f aca="false">IF(B13="mass",COMPLEX(-I13/(2*E13)*(SINH(J13)*COS(J13)+COSH(J13)*SIN(J13)),-I13/(2*E13)*(COSH(J13)*SIN(J13)-SINH(J13)*COS(J13))),COMPLEX(-H13,0))</f>
        <v>-0</v>
      </c>
      <c r="M13" s="7" t="str">
        <f aca="false">IF(B13="mass",COMPLEX(-E13/I13*(SINH(J13)*COS(J13)-COSH(J13)*SIN(J13)),-E13/I13*(SINH(J13)*COS(J13)+COSH(J13)*SIN(J13))),COMPLEX(0,0))</f>
        <v>0</v>
      </c>
      <c r="N13" s="7" t="str">
        <f aca="false">K13</f>
        <v>1</v>
      </c>
      <c r="O13" s="7" t="str">
        <f aca="false">IMSUM(IMPRODUCT(K13,O12),IMPRODUCT(L13,Q12))</f>
        <v>-74.1655165415243+36.5358632745572i</v>
      </c>
      <c r="P13" s="7" t="str">
        <f aca="false">IMSUM(IMPRODUCT(K13,P12),IMPRODUCT(L13,R12))</f>
        <v>10.8583133000796-11.5579312431186i</v>
      </c>
      <c r="Q13" s="7" t="str">
        <f aca="false">IMSUM(IMPRODUCT(M13,O12),IMPRODUCT(N13,Q12))</f>
        <v>564.46376597634+467.040288031813i</v>
      </c>
      <c r="R13" s="7" t="str">
        <f aca="false">IMSUM(IMPRODUCT(M13,P12),IMPRODUCT(N13,R12))</f>
        <v>-132.848060749866-45.8562835838345i</v>
      </c>
      <c r="S13" s="10" t="n">
        <f aca="false">IF(B13="mass",D13/E13,H13)</f>
        <v>0</v>
      </c>
      <c r="T13" s="12" t="n">
        <f aca="false">IF(B13="mass",F13*G13*D13,0)</f>
        <v>0</v>
      </c>
    </row>
    <row r="14" customFormat="false" ht="15" hidden="false" customHeight="false" outlineLevel="0" collapsed="false">
      <c r="A14" s="7" t="s">
        <v>48</v>
      </c>
      <c r="B14" s="7" t="str">
        <f aca="false">IF(C14="","none",IF(C14="Cavity","res","mass"))</f>
        <v>none</v>
      </c>
      <c r="C14" s="7" t="str">
        <f aca="false">IF(INDEX(Library!$Q$5:$Q$34,$U$6)="","",INDEX(Library!$Q$5:$Q$34,$U$6))</f>
        <v/>
      </c>
      <c r="D14" s="11" t="n">
        <f aca="false">IF(B14="mass",INDEX(Library!$R$5:$R$34,$U$6)/1000,0)</f>
        <v>0</v>
      </c>
      <c r="E14" s="7" t="n">
        <f aca="false">IF(B14="mass",INDEX(Materials!$B$5:$B$28,MATCH(C14,Materials!$A$5:$A$28,0)),0)</f>
        <v>0</v>
      </c>
      <c r="F14" s="7" t="n">
        <f aca="false">IF(B14="mass",INDEX(Materials!$C$5:$C$28,MATCH(C14,Materials!$A$5:$A$28,0)),0)</f>
        <v>0</v>
      </c>
      <c r="G14" s="7" t="n">
        <f aca="false">IF(B14="mass",INDEX(Materials!$D$5:$D$28,MATCH(C14,Materials!$A$5:$A$28,0)),0)</f>
        <v>0</v>
      </c>
      <c r="H14" s="10" t="n">
        <f aca="false">IF(B14="res",INDEX(Library!$R$5:$R$34,$U$6),0)</f>
        <v>0</v>
      </c>
      <c r="I14" s="11" t="n">
        <f aca="false">IF(B14="mass",SQRT(E14*($B$2*3600)/(PI()*F14*G14)),0)</f>
        <v>0</v>
      </c>
      <c r="J14" s="10" t="n">
        <f aca="false">IF(B14="mass",D14/I14,0)</f>
        <v>0</v>
      </c>
      <c r="K14" s="7" t="str">
        <f aca="false">IF(B14="mass",COMPLEX(COSH(J14)*COS(J14),SINH(J14)*SIN(J14)),COMPLEX(1,0))</f>
        <v>1</v>
      </c>
      <c r="L14" s="7" t="str">
        <f aca="false">IF(B14="mass",COMPLEX(-I14/(2*E14)*(SINH(J14)*COS(J14)+COSH(J14)*SIN(J14)),-I14/(2*E14)*(COSH(J14)*SIN(J14)-SINH(J14)*COS(J14))),COMPLEX(-H14,0))</f>
        <v>-0</v>
      </c>
      <c r="M14" s="7" t="str">
        <f aca="false">IF(B14="mass",COMPLEX(-E14/I14*(SINH(J14)*COS(J14)-COSH(J14)*SIN(J14)),-E14/I14*(SINH(J14)*COS(J14)+COSH(J14)*SIN(J14))),COMPLEX(0,0))</f>
        <v>0</v>
      </c>
      <c r="N14" s="7" t="str">
        <f aca="false">K14</f>
        <v>1</v>
      </c>
      <c r="O14" s="7" t="str">
        <f aca="false">IMSUM(IMPRODUCT(K14,O13),IMPRODUCT(L14,Q13))</f>
        <v>-74.1655165415243+36.5358632745572i</v>
      </c>
      <c r="P14" s="7" t="str">
        <f aca="false">IMSUM(IMPRODUCT(K14,P13),IMPRODUCT(L14,R13))</f>
        <v>10.8583133000796-11.5579312431186i</v>
      </c>
      <c r="Q14" s="7" t="str">
        <f aca="false">IMSUM(IMPRODUCT(M14,O13),IMPRODUCT(N14,Q13))</f>
        <v>564.46376597634+467.040288031813i</v>
      </c>
      <c r="R14" s="7" t="str">
        <f aca="false">IMSUM(IMPRODUCT(M14,P13),IMPRODUCT(N14,R13))</f>
        <v>-132.848060749866-45.8562835838345i</v>
      </c>
      <c r="S14" s="10" t="n">
        <f aca="false">IF(B14="mass",D14/E14,H14)</f>
        <v>0</v>
      </c>
      <c r="T14" s="12" t="n">
        <f aca="false">IF(B14="mass",F14*G14*D14,0)</f>
        <v>0</v>
      </c>
    </row>
    <row r="15" customFormat="false" ht="15" hidden="false" customHeight="false" outlineLevel="0" collapsed="false">
      <c r="A15" s="7" t="s">
        <v>49</v>
      </c>
      <c r="B15" s="7" t="str">
        <f aca="false">IF(C15="","none",IF(C15="Cavity","res","mass"))</f>
        <v>none</v>
      </c>
      <c r="C15" s="7" t="str">
        <f aca="false">IF(INDEX(Library!$S$5:$S$34,$U$6)="","",INDEX(Library!$S$5:$S$34,$U$6))</f>
        <v/>
      </c>
      <c r="D15" s="11" t="n">
        <f aca="false">IF(B15="mass",INDEX(Library!$T$5:$T$34,$U$6)/1000,0)</f>
        <v>0</v>
      </c>
      <c r="E15" s="7" t="n">
        <f aca="false">IF(B15="mass",INDEX(Materials!$B$5:$B$28,MATCH(C15,Materials!$A$5:$A$28,0)),0)</f>
        <v>0</v>
      </c>
      <c r="F15" s="7" t="n">
        <f aca="false">IF(B15="mass",INDEX(Materials!$C$5:$C$28,MATCH(C15,Materials!$A$5:$A$28,0)),0)</f>
        <v>0</v>
      </c>
      <c r="G15" s="7" t="n">
        <f aca="false">IF(B15="mass",INDEX(Materials!$D$5:$D$28,MATCH(C15,Materials!$A$5:$A$28,0)),0)</f>
        <v>0</v>
      </c>
      <c r="H15" s="10" t="n">
        <f aca="false">IF(B15="res",INDEX(Library!$T$5:$T$34,$U$6),0)</f>
        <v>0</v>
      </c>
      <c r="I15" s="11" t="n">
        <f aca="false">IF(B15="mass",SQRT(E15*($B$2*3600)/(PI()*F15*G15)),0)</f>
        <v>0</v>
      </c>
      <c r="J15" s="10" t="n">
        <f aca="false">IF(B15="mass",D15/I15,0)</f>
        <v>0</v>
      </c>
      <c r="K15" s="7" t="str">
        <f aca="false">IF(B15="mass",COMPLEX(COSH(J15)*COS(J15),SINH(J15)*SIN(J15)),COMPLEX(1,0))</f>
        <v>1</v>
      </c>
      <c r="L15" s="7" t="str">
        <f aca="false">IF(B15="mass",COMPLEX(-I15/(2*E15)*(SINH(J15)*COS(J15)+COSH(J15)*SIN(J15)),-I15/(2*E15)*(COSH(J15)*SIN(J15)-SINH(J15)*COS(J15))),COMPLEX(-H15,0))</f>
        <v>-0</v>
      </c>
      <c r="M15" s="7" t="str">
        <f aca="false">IF(B15="mass",COMPLEX(-E15/I15*(SINH(J15)*COS(J15)-COSH(J15)*SIN(J15)),-E15/I15*(SINH(J15)*COS(J15)+COSH(J15)*SIN(J15))),COMPLEX(0,0))</f>
        <v>0</v>
      </c>
      <c r="N15" s="7" t="str">
        <f aca="false">K15</f>
        <v>1</v>
      </c>
      <c r="O15" s="7" t="str">
        <f aca="false">IMSUM(IMPRODUCT(K15,O14),IMPRODUCT(L15,Q14))</f>
        <v>-74.1655165415243+36.5358632745572i</v>
      </c>
      <c r="P15" s="7" t="str">
        <f aca="false">IMSUM(IMPRODUCT(K15,P14),IMPRODUCT(L15,R14))</f>
        <v>10.8583133000796-11.5579312431186i</v>
      </c>
      <c r="Q15" s="7" t="str">
        <f aca="false">IMSUM(IMPRODUCT(M15,O14),IMPRODUCT(N15,Q14))</f>
        <v>564.46376597634+467.040288031813i</v>
      </c>
      <c r="R15" s="7" t="str">
        <f aca="false">IMSUM(IMPRODUCT(M15,P14),IMPRODUCT(N15,R14))</f>
        <v>-132.848060749866-45.8562835838345i</v>
      </c>
      <c r="S15" s="10" t="n">
        <f aca="false">IF(B15="mass",D15/E15,H15)</f>
        <v>0</v>
      </c>
      <c r="T15" s="12" t="n">
        <f aca="false">IF(B15="mass",F15*G15*D15,0)</f>
        <v>0</v>
      </c>
    </row>
    <row r="16" customFormat="false" ht="15" hidden="false" customHeight="false" outlineLevel="0" collapsed="false">
      <c r="A16" s="7" t="s">
        <v>50</v>
      </c>
      <c r="B16" s="7" t="str">
        <f aca="false">IF(C16="","none",IF(C16="Cavity","res","mass"))</f>
        <v>none</v>
      </c>
      <c r="C16" s="7" t="str">
        <f aca="false">IF(INDEX(Library!$U$5:$U$34,$U$6)="","",INDEX(Library!$U$5:$U$34,$U$6))</f>
        <v/>
      </c>
      <c r="D16" s="11" t="n">
        <f aca="false">IF(B16="mass",INDEX(Library!$V$5:$V$34,$U$6)/1000,0)</f>
        <v>0</v>
      </c>
      <c r="E16" s="7" t="n">
        <f aca="false">IF(B16="mass",INDEX(Materials!$B$5:$B$28,MATCH(C16,Materials!$A$5:$A$28,0)),0)</f>
        <v>0</v>
      </c>
      <c r="F16" s="7" t="n">
        <f aca="false">IF(B16="mass",INDEX(Materials!$C$5:$C$28,MATCH(C16,Materials!$A$5:$A$28,0)),0)</f>
        <v>0</v>
      </c>
      <c r="G16" s="7" t="n">
        <f aca="false">IF(B16="mass",INDEX(Materials!$D$5:$D$28,MATCH(C16,Materials!$A$5:$A$28,0)),0)</f>
        <v>0</v>
      </c>
      <c r="H16" s="10" t="n">
        <f aca="false">IF(B16="res",INDEX(Library!$V$5:$V$34,$U$6),0)</f>
        <v>0</v>
      </c>
      <c r="I16" s="11" t="n">
        <f aca="false">IF(B16="mass",SQRT(E16*($B$2*3600)/(PI()*F16*G16)),0)</f>
        <v>0</v>
      </c>
      <c r="J16" s="10" t="n">
        <f aca="false">IF(B16="mass",D16/I16,0)</f>
        <v>0</v>
      </c>
      <c r="K16" s="7" t="str">
        <f aca="false">IF(B16="mass",COMPLEX(COSH(J16)*COS(J16),SINH(J16)*SIN(J16)),COMPLEX(1,0))</f>
        <v>1</v>
      </c>
      <c r="L16" s="7" t="str">
        <f aca="false">IF(B16="mass",COMPLEX(-I16/(2*E16)*(SINH(J16)*COS(J16)+COSH(J16)*SIN(J16)),-I16/(2*E16)*(COSH(J16)*SIN(J16)-SINH(J16)*COS(J16))),COMPLEX(-H16,0))</f>
        <v>-0</v>
      </c>
      <c r="M16" s="7" t="str">
        <f aca="false">IF(B16="mass",COMPLEX(-E16/I16*(SINH(J16)*COS(J16)-COSH(J16)*SIN(J16)),-E16/I16*(SINH(J16)*COS(J16)+COSH(J16)*SIN(J16))),COMPLEX(0,0))</f>
        <v>0</v>
      </c>
      <c r="N16" s="7" t="str">
        <f aca="false">K16</f>
        <v>1</v>
      </c>
      <c r="O16" s="7" t="str">
        <f aca="false">IMSUM(IMPRODUCT(K16,O15),IMPRODUCT(L16,Q15))</f>
        <v>-74.1655165415243+36.5358632745572i</v>
      </c>
      <c r="P16" s="7" t="str">
        <f aca="false">IMSUM(IMPRODUCT(K16,P15),IMPRODUCT(L16,R15))</f>
        <v>10.8583133000796-11.5579312431186i</v>
      </c>
      <c r="Q16" s="7" t="str">
        <f aca="false">IMSUM(IMPRODUCT(M16,O15),IMPRODUCT(N16,Q15))</f>
        <v>564.46376597634+467.040288031813i</v>
      </c>
      <c r="R16" s="7" t="str">
        <f aca="false">IMSUM(IMPRODUCT(M16,P15),IMPRODUCT(N16,R15))</f>
        <v>-132.848060749866-45.8562835838345i</v>
      </c>
      <c r="S16" s="10" t="n">
        <f aca="false">IF(B16="mass",D16/E16,H16)</f>
        <v>0</v>
      </c>
      <c r="T16" s="12" t="n">
        <f aca="false">IF(B16="mass",F16*G16*D16,0)</f>
        <v>0</v>
      </c>
    </row>
    <row r="17" customFormat="false" ht="15" hidden="false" customHeight="false" outlineLevel="0" collapsed="false">
      <c r="A17" s="7" t="s">
        <v>51</v>
      </c>
      <c r="B17" s="7" t="str">
        <f aca="false">IF($W$6="ground","mass",IF($W$6="adiabatic","res","none"))</f>
        <v>none</v>
      </c>
      <c r="C17" s="7" t="str">
        <f aca="false">IF($W$6="ground","clay soil","")</f>
        <v/>
      </c>
      <c r="D17" s="11" t="n">
        <f aca="false">IF(B17="mass",1,0)</f>
        <v>0</v>
      </c>
      <c r="E17" s="7" t="n">
        <f aca="false">IF(B17="mass",INDEX(Materials!$B$5:$B$28,MATCH(C17,Materials!$A$5:$A$28,0)),0)</f>
        <v>0</v>
      </c>
      <c r="F17" s="7" t="n">
        <f aca="false">IF(B17="mass",INDEX(Materials!$C$5:$C$28,MATCH(C17,Materials!$A$5:$A$28,0)),0)</f>
        <v>0</v>
      </c>
      <c r="G17" s="7" t="n">
        <f aca="false">IF(B17="mass",INDEX(Materials!$D$5:$D$28,MATCH(C17,Materials!$A$5:$A$28,0)),0)</f>
        <v>0</v>
      </c>
      <c r="H17" s="12" t="n">
        <f aca="false">IF(B17="res",1000000,0)</f>
        <v>0</v>
      </c>
      <c r="I17" s="11" t="n">
        <f aca="false">IF(B17="mass",SQRT(E17*($B$2*3600)/(PI()*F17*G17)),0)</f>
        <v>0</v>
      </c>
      <c r="J17" s="10" t="n">
        <f aca="false">IF(B17="mass",D17/I17,0)</f>
        <v>0</v>
      </c>
      <c r="K17" s="7" t="str">
        <f aca="false">IF(B17="mass",COMPLEX(COSH(J17)*COS(J17),SINH(J17)*SIN(J17)),COMPLEX(1,0))</f>
        <v>1</v>
      </c>
      <c r="L17" s="7" t="str">
        <f aca="false">IF(B17="mass",COMPLEX(-I17/(2*E17)*(SINH(J17)*COS(J17)+COSH(J17)*SIN(J17)),-I17/(2*E17)*(COSH(J17)*SIN(J17)-SINH(J17)*COS(J17))),COMPLEX(-H17,0))</f>
        <v>-0</v>
      </c>
      <c r="M17" s="7" t="str">
        <f aca="false">IF(B17="mass",COMPLEX(-E17/I17*(SINH(J17)*COS(J17)-COSH(J17)*SIN(J17)),-E17/I17*(SINH(J17)*COS(J17)+COSH(J17)*SIN(J17))),COMPLEX(0,0))</f>
        <v>0</v>
      </c>
      <c r="N17" s="7" t="str">
        <f aca="false">K17</f>
        <v>1</v>
      </c>
      <c r="O17" s="7" t="str">
        <f aca="false">IMSUM(IMPRODUCT(K17,O16),IMPRODUCT(L17,Q16))</f>
        <v>-74.1655165415243+36.5358632745572i</v>
      </c>
      <c r="P17" s="7" t="str">
        <f aca="false">IMSUM(IMPRODUCT(K17,P16),IMPRODUCT(L17,R16))</f>
        <v>10.8583133000796-11.5579312431186i</v>
      </c>
      <c r="Q17" s="7" t="str">
        <f aca="false">IMSUM(IMPRODUCT(M17,O16),IMPRODUCT(N17,Q16))</f>
        <v>564.46376597634+467.040288031813i</v>
      </c>
      <c r="R17" s="7" t="str">
        <f aca="false">IMSUM(IMPRODUCT(M17,P16),IMPRODUCT(N17,R16))</f>
        <v>-132.848060749866-45.8562835838345i</v>
      </c>
      <c r="S17" s="10" t="n">
        <f aca="false">IF(B17="mass",D17/E17,H17)</f>
        <v>0</v>
      </c>
      <c r="T17" s="12" t="n">
        <f aca="false">IF(B17="mass",F17*G17*D17,0)</f>
        <v>0</v>
      </c>
    </row>
    <row r="18" customFormat="false" ht="15" hidden="false" customHeight="false" outlineLevel="0" collapsed="false">
      <c r="A18" s="7" t="s">
        <v>52</v>
      </c>
      <c r="B18" s="7" t="s">
        <v>42</v>
      </c>
      <c r="H18" s="10" t="n">
        <f aca="false">IF($W$6="ext",0.04,IF($W$6="room",$Y$6,0))</f>
        <v>0.04</v>
      </c>
      <c r="I18" s="11" t="n">
        <f aca="false">IF(B18="mass",SQRT(E18*($B$2*3600)/(PI()*F18*G18)),0)</f>
        <v>0</v>
      </c>
      <c r="J18" s="10" t="n">
        <f aca="false">IF(B18="mass",D18/I18,0)</f>
        <v>0</v>
      </c>
      <c r="K18" s="7" t="str">
        <f aca="false">IF(B18="mass",COMPLEX(COSH(J18)*COS(J18),SINH(J18)*SIN(J18)),COMPLEX(1,0))</f>
        <v>1</v>
      </c>
      <c r="L18" s="7" t="str">
        <f aca="false">IF(B18="mass",COMPLEX(-I18/(2*E18)*(SINH(J18)*COS(J18)+COSH(J18)*SIN(J18)),-I18/(2*E18)*(COSH(J18)*SIN(J18)-SINH(J18)*COS(J18))),COMPLEX(-H18,0))</f>
        <v>-0.04</v>
      </c>
      <c r="M18" s="7" t="str">
        <f aca="false">IF(B18="mass",COMPLEX(-E18/I18*(SINH(J18)*COS(J18)-COSH(J18)*SIN(J18)),-E18/I18*(SINH(J18)*COS(J18)+COSH(J18)*SIN(J18))),COMPLEX(0,0))</f>
        <v>0</v>
      </c>
      <c r="N18" s="7" t="str">
        <f aca="false">K18</f>
        <v>1</v>
      </c>
      <c r="O18" s="7" t="str">
        <f aca="false">IMSUM(IMPRODUCT(K18,O17),IMPRODUCT(L18,Q17))</f>
        <v>-96.7440671805779+17.8542517532847i</v>
      </c>
      <c r="P18" s="7" t="str">
        <f aca="false">IMSUM(IMPRODUCT(K18,P17),IMPRODUCT(L18,R17))</f>
        <v>16.1722357300742-9.72367989976522i</v>
      </c>
      <c r="Q18" s="7" t="str">
        <f aca="false">IMSUM(IMPRODUCT(M18,O17),IMPRODUCT(N18,Q17))</f>
        <v>564.46376597634+467.040288031813i</v>
      </c>
      <c r="R18" s="7" t="str">
        <f aca="false">IMSUM(IMPRODUCT(M18,P17),IMPRODUCT(N18,R17))</f>
        <v>-132.848060749866-45.8562835838345i</v>
      </c>
      <c r="S18" s="10" t="n">
        <f aca="false">IF(B18="mass",D18/E18,H18)</f>
        <v>0.04</v>
      </c>
      <c r="T18" s="12" t="n">
        <f aca="false">IF(B18="mass",F18*G18*D18,0)</f>
        <v>0</v>
      </c>
    </row>
    <row r="19" customFormat="false" ht="15" hidden="false" customHeight="false" outlineLevel="0" collapsed="false">
      <c r="A19" s="9" t="s">
        <v>53</v>
      </c>
      <c r="B19" s="13" t="n">
        <f aca="false">IF(OR($W$6="ext",$W$6="ground"),1/SUM(S8:S18),"–")</f>
        <v>0.212644822586131</v>
      </c>
      <c r="C19" s="9" t="s">
        <v>54</v>
      </c>
      <c r="D19" s="13" t="n">
        <f aca="false">IMABS(IMDIV(IMPRODUCT(O18,COMPLEX(-1,0)),P18))</f>
        <v>5.21334481066688</v>
      </c>
      <c r="E19" s="9" t="s">
        <v>55</v>
      </c>
      <c r="F19" s="14" t="n">
        <f aca="false">IMARGUMENT(IMDIV(IMPRODUCT(O18,COMPLEX(-1,0)),P18))*$B$2/(2*PI())</f>
        <v>1.37068976369534</v>
      </c>
      <c r="G19" s="9" t="s">
        <v>56</v>
      </c>
      <c r="H19" s="13" t="n">
        <f aca="false">IF($W$6="ext",IMABS(IMDIV(COMPLEX(-1,0),P18))*SUM(S8:S18),"–")</f>
        <v>0.249209498438484</v>
      </c>
      <c r="I19" s="9" t="s">
        <v>57</v>
      </c>
      <c r="J19" s="14" t="n">
        <f aca="false">IF($W$6="ext",MOD(-IMARGUMENT(IMDIV(COMPLEX(-1,0),P18))*$B$2/(2*PI()),24),"–")</f>
        <v>9.93221936308962</v>
      </c>
      <c r="K19" s="9" t="s">
        <v>58</v>
      </c>
      <c r="L19" s="15" t="n">
        <f aca="false">($B$2*3600)/(2*PI())*IMABS(IMDIV(IMSUB(O18,COMPLEX(1,0)),P18))/1000</f>
        <v>72.4053641522981</v>
      </c>
      <c r="M19" s="9" t="s">
        <v>59</v>
      </c>
      <c r="N19" s="15" t="n">
        <f aca="false">SUM(T9:T16)/1000</f>
        <v>360.255</v>
      </c>
      <c r="O19" s="9" t="s">
        <v>60</v>
      </c>
      <c r="P19" s="16" t="n">
        <f aca="false">SUM(S9:S16)</f>
        <v>4.53267739340306</v>
      </c>
    </row>
    <row r="21" customFormat="false" ht="15" hidden="false" customHeight="false" outlineLevel="0" collapsed="false">
      <c r="A21" s="4" t="s">
        <v>61</v>
      </c>
    </row>
    <row r="22" customFormat="false" ht="15" hidden="false" customHeight="false" outlineLevel="0" collapsed="false">
      <c r="A22" s="9"/>
      <c r="B22" s="9" t="s">
        <v>62</v>
      </c>
      <c r="C22" s="9" t="s">
        <v>63</v>
      </c>
      <c r="D22" s="9"/>
      <c r="E22" s="9"/>
      <c r="F22" s="9"/>
      <c r="G22" s="9"/>
      <c r="H22" s="9"/>
      <c r="I22" s="9"/>
      <c r="J22" s="9"/>
      <c r="K22" s="9" t="s">
        <v>32</v>
      </c>
      <c r="L22" s="9" t="s">
        <v>33</v>
      </c>
      <c r="M22" s="9" t="s">
        <v>34</v>
      </c>
      <c r="N22" s="9" t="s">
        <v>35</v>
      </c>
      <c r="O22" s="9" t="s">
        <v>36</v>
      </c>
      <c r="P22" s="9" t="s">
        <v>37</v>
      </c>
      <c r="Q22" s="9" t="s">
        <v>38</v>
      </c>
      <c r="R22" s="9" t="s">
        <v>39</v>
      </c>
    </row>
    <row r="23" customFormat="false" ht="15" hidden="false" customHeight="false" outlineLevel="0" collapsed="false">
      <c r="A23" s="7" t="s">
        <v>22</v>
      </c>
      <c r="B23" s="7" t="s">
        <v>42</v>
      </c>
      <c r="C23" s="10" t="n">
        <f aca="false">$Y$6</f>
        <v>0.13</v>
      </c>
      <c r="K23" s="7" t="str">
        <f aca="false">COMPLEX(1,0)</f>
        <v>1</v>
      </c>
      <c r="L23" s="7" t="str">
        <f aca="false">COMPLEX(-C23,0)</f>
        <v>-0.13</v>
      </c>
      <c r="M23" s="7" t="str">
        <f aca="false">COMPLEX(0,0)</f>
        <v>0</v>
      </c>
      <c r="N23" s="7" t="str">
        <f aca="false">COMPLEX(1,0)</f>
        <v>1</v>
      </c>
      <c r="O23" s="7" t="str">
        <f aca="false">K23</f>
        <v>1</v>
      </c>
      <c r="P23" s="7" t="str">
        <f aca="false">L23</f>
        <v>-0.13</v>
      </c>
      <c r="Q23" s="7" t="str">
        <f aca="false">M23</f>
        <v>0</v>
      </c>
      <c r="R23" s="7" t="str">
        <f aca="false">N23</f>
        <v>1</v>
      </c>
    </row>
    <row r="24" customFormat="false" ht="15" hidden="false" customHeight="false" outlineLevel="0" collapsed="false">
      <c r="A24" s="7" t="s">
        <v>64</v>
      </c>
      <c r="B24" s="7" t="s">
        <v>65</v>
      </c>
      <c r="C24" s="10" t="n">
        <f aca="false">INDEX(Classes!$B$5:$F$9,MATCH(Engine!$C$5,Classes!$A$5:$A$9,0),5)*(N19*1000)</f>
        <v>180127.5</v>
      </c>
      <c r="K24" s="7" t="str">
        <f aca="false">COMPLEX(1,0)</f>
        <v>1</v>
      </c>
      <c r="L24" s="7" t="str">
        <f aca="false">COMPLEX(0,0)</f>
        <v>0</v>
      </c>
      <c r="M24" s="7" t="str">
        <f aca="false">COMPLEX(0,-(2*PI()/($B$2*3600))*C24)</f>
        <v>-13.0992414516087i</v>
      </c>
      <c r="N24" s="7" t="str">
        <f aca="false">COMPLEX(1,0)</f>
        <v>1</v>
      </c>
      <c r="O24" s="7" t="str">
        <f aca="false">IMSUM(IMPRODUCT(K24,O23),IMPRODUCT(L24,Q23))</f>
        <v>1</v>
      </c>
      <c r="P24" s="7" t="str">
        <f aca="false">IMSUM(IMPRODUCT(K24,P23),IMPRODUCT(L24,R23))</f>
        <v>-0.13</v>
      </c>
      <c r="Q24" s="7" t="str">
        <f aca="false">IMSUM(IMPRODUCT(M24,O23),IMPRODUCT(N24,Q23))</f>
        <v>-13.0992414516087i</v>
      </c>
      <c r="R24" s="7" t="str">
        <f aca="false">IMSUM(IMPRODUCT(M24,P23),IMPRODUCT(N24,R23))</f>
        <v>1+1.70290138870913i</v>
      </c>
    </row>
    <row r="25" customFormat="false" ht="15" hidden="false" customHeight="false" outlineLevel="0" collapsed="false">
      <c r="A25" s="7" t="s">
        <v>66</v>
      </c>
      <c r="B25" s="7" t="s">
        <v>42</v>
      </c>
      <c r="C25" s="10" t="n">
        <f aca="false">P19/6</f>
        <v>0.755446232233843</v>
      </c>
      <c r="K25" s="7" t="str">
        <f aca="false">COMPLEX(1,0)</f>
        <v>1</v>
      </c>
      <c r="L25" s="7" t="str">
        <f aca="false">COMPLEX(-C25,0)</f>
        <v>-0.755446232233843</v>
      </c>
      <c r="M25" s="7" t="str">
        <f aca="false">COMPLEX(0,0)</f>
        <v>0</v>
      </c>
      <c r="N25" s="7" t="str">
        <f aca="false">COMPLEX(1,0)</f>
        <v>1</v>
      </c>
      <c r="O25" s="7" t="str">
        <f aca="false">IMSUM(IMPRODUCT(K25,O24),IMPRODUCT(L25,Q24))</f>
        <v>1+9.89577259973917i</v>
      </c>
      <c r="P25" s="7" t="str">
        <f aca="false">IMSUM(IMPRODUCT(K25,P24),IMPRODUCT(L25,R24))</f>
        <v>-0.885446232233843-1.28645043796609i</v>
      </c>
      <c r="Q25" s="7" t="str">
        <f aca="false">IMSUM(IMPRODUCT(M25,O24),IMPRODUCT(N25,Q24))</f>
        <v>-13.0992414516087i</v>
      </c>
      <c r="R25" s="7" t="str">
        <f aca="false">IMSUM(IMPRODUCT(M25,P24),IMPRODUCT(N25,R24))</f>
        <v>1+1.70290138870913i</v>
      </c>
    </row>
    <row r="26" customFormat="false" ht="15" hidden="false" customHeight="false" outlineLevel="0" collapsed="false">
      <c r="A26" s="7" t="s">
        <v>67</v>
      </c>
      <c r="B26" s="7" t="s">
        <v>65</v>
      </c>
      <c r="C26" s="10" t="n">
        <f aca="false">INDEX(Classes!$B$5:$F$9,MATCH(Engine!$C$5,Classes!$A$5:$A$9,0),4)*(N19*1000)</f>
        <v>0</v>
      </c>
      <c r="K26" s="7" t="str">
        <f aca="false">COMPLEX(1,0)</f>
        <v>1</v>
      </c>
      <c r="L26" s="7" t="str">
        <f aca="false">COMPLEX(0,0)</f>
        <v>0</v>
      </c>
      <c r="M26" s="7" t="str">
        <f aca="false">COMPLEX(0,-(2*PI()/($B$2*3600))*C26)</f>
        <v>0</v>
      </c>
      <c r="N26" s="7" t="str">
        <f aca="false">COMPLEX(1,0)</f>
        <v>1</v>
      </c>
      <c r="O26" s="7" t="str">
        <f aca="false">IMSUM(IMPRODUCT(K26,O25),IMPRODUCT(L26,Q25))</f>
        <v>1+9.89577259973917i</v>
      </c>
      <c r="P26" s="7" t="str">
        <f aca="false">IMSUM(IMPRODUCT(K26,P25),IMPRODUCT(L26,R25))</f>
        <v>-0.885446232233843-1.28645043796609i</v>
      </c>
      <c r="Q26" s="7" t="str">
        <f aca="false">IMSUM(IMPRODUCT(M26,O25),IMPRODUCT(N26,Q25))</f>
        <v>-13.0992414516087i</v>
      </c>
      <c r="R26" s="7" t="str">
        <f aca="false">IMSUM(IMPRODUCT(M26,P25),IMPRODUCT(N26,R25))</f>
        <v>1+1.70290138870913i</v>
      </c>
    </row>
    <row r="27" customFormat="false" ht="15" hidden="false" customHeight="false" outlineLevel="0" collapsed="false">
      <c r="A27" s="7" t="s">
        <v>68</v>
      </c>
      <c r="B27" s="7" t="s">
        <v>42</v>
      </c>
      <c r="C27" s="10" t="n">
        <f aca="false">P19/3</f>
        <v>1.51089246446769</v>
      </c>
      <c r="K27" s="7" t="str">
        <f aca="false">COMPLEX(1,0)</f>
        <v>1</v>
      </c>
      <c r="L27" s="7" t="str">
        <f aca="false">COMPLEX(-C27,0)</f>
        <v>-1.51089246446769</v>
      </c>
      <c r="M27" s="7" t="str">
        <f aca="false">COMPLEX(0,0)</f>
        <v>0</v>
      </c>
      <c r="N27" s="7" t="str">
        <f aca="false">COMPLEX(1,0)</f>
        <v>1</v>
      </c>
      <c r="O27" s="7" t="str">
        <f aca="false">IMSUM(IMPRODUCT(K27,O26),IMPRODUCT(L27,Q26))</f>
        <v>1+29.6873177992176i</v>
      </c>
      <c r="P27" s="7" t="str">
        <f aca="false">IMSUM(IMPRODUCT(K27,P26),IMPRODUCT(L27,R26))</f>
        <v>-2.39633869670153-3.85935131389828i</v>
      </c>
      <c r="Q27" s="7" t="str">
        <f aca="false">IMSUM(IMPRODUCT(M27,O26),IMPRODUCT(N27,Q26))</f>
        <v>-13.0992414516087i</v>
      </c>
      <c r="R27" s="7" t="str">
        <f aca="false">IMSUM(IMPRODUCT(M27,P26),IMPRODUCT(N27,R26))</f>
        <v>1+1.70290138870913i</v>
      </c>
    </row>
    <row r="28" customFormat="false" ht="15" hidden="false" customHeight="false" outlineLevel="0" collapsed="false">
      <c r="A28" s="7" t="s">
        <v>69</v>
      </c>
      <c r="B28" s="7" t="s">
        <v>65</v>
      </c>
      <c r="C28" s="10" t="n">
        <f aca="false">INDEX(Classes!$B$5:$F$9,MATCH(Engine!$C$5,Classes!$A$5:$A$9,0),3)*(N19*1000)</f>
        <v>0</v>
      </c>
      <c r="K28" s="7" t="str">
        <f aca="false">COMPLEX(1,0)</f>
        <v>1</v>
      </c>
      <c r="L28" s="7" t="str">
        <f aca="false">COMPLEX(0,0)</f>
        <v>0</v>
      </c>
      <c r="M28" s="7" t="str">
        <f aca="false">COMPLEX(0,-(2*PI()/($B$2*3600))*C28)</f>
        <v>0</v>
      </c>
      <c r="N28" s="7" t="str">
        <f aca="false">COMPLEX(1,0)</f>
        <v>1</v>
      </c>
      <c r="O28" s="7" t="str">
        <f aca="false">IMSUM(IMPRODUCT(K28,O27),IMPRODUCT(L28,Q27))</f>
        <v>1+29.6873177992176i</v>
      </c>
      <c r="P28" s="7" t="str">
        <f aca="false">IMSUM(IMPRODUCT(K28,P27),IMPRODUCT(L28,R27))</f>
        <v>-2.39633869670153-3.85935131389828i</v>
      </c>
      <c r="Q28" s="7" t="str">
        <f aca="false">IMSUM(IMPRODUCT(M28,O27),IMPRODUCT(N28,Q27))</f>
        <v>-13.0992414516087i</v>
      </c>
      <c r="R28" s="7" t="str">
        <f aca="false">IMSUM(IMPRODUCT(M28,P27),IMPRODUCT(N28,R27))</f>
        <v>1+1.70290138870913i</v>
      </c>
    </row>
    <row r="29" customFormat="false" ht="15" hidden="false" customHeight="false" outlineLevel="0" collapsed="false">
      <c r="A29" s="7" t="s">
        <v>68</v>
      </c>
      <c r="B29" s="7" t="s">
        <v>42</v>
      </c>
      <c r="C29" s="10" t="n">
        <f aca="false">P19/3</f>
        <v>1.51089246446769</v>
      </c>
      <c r="K29" s="7" t="str">
        <f aca="false">COMPLEX(1,0)</f>
        <v>1</v>
      </c>
      <c r="L29" s="7" t="str">
        <f aca="false">COMPLEX(-C29,0)</f>
        <v>-1.51089246446769</v>
      </c>
      <c r="M29" s="7" t="str">
        <f aca="false">COMPLEX(0,0)</f>
        <v>0</v>
      </c>
      <c r="N29" s="7" t="str">
        <f aca="false">COMPLEX(1,0)</f>
        <v>1</v>
      </c>
      <c r="O29" s="7" t="str">
        <f aca="false">IMSUM(IMPRODUCT(K29,O28),IMPRODUCT(L29,Q28))</f>
        <v>1+49.478862998696i</v>
      </c>
      <c r="P29" s="7" t="str">
        <f aca="false">IMSUM(IMPRODUCT(K29,P28),IMPRODUCT(L29,R28))</f>
        <v>-3.90723116116922-6.43225218983047i</v>
      </c>
      <c r="Q29" s="7" t="str">
        <f aca="false">IMSUM(IMPRODUCT(M29,O28),IMPRODUCT(N29,Q28))</f>
        <v>-13.0992414516087i</v>
      </c>
      <c r="R29" s="7" t="str">
        <f aca="false">IMSUM(IMPRODUCT(M29,P28),IMPRODUCT(N29,R28))</f>
        <v>1+1.70290138870913i</v>
      </c>
    </row>
    <row r="30" customFormat="false" ht="15" hidden="false" customHeight="false" outlineLevel="0" collapsed="false">
      <c r="A30" s="7" t="s">
        <v>70</v>
      </c>
      <c r="B30" s="7" t="s">
        <v>65</v>
      </c>
      <c r="C30" s="10" t="n">
        <f aca="false">INDEX(Classes!$B$5:$F$9,MATCH(Engine!$C$5,Classes!$A$5:$A$9,0),2)*(N19*1000)</f>
        <v>0</v>
      </c>
      <c r="K30" s="7" t="str">
        <f aca="false">COMPLEX(1,0)</f>
        <v>1</v>
      </c>
      <c r="L30" s="7" t="str">
        <f aca="false">COMPLEX(0,0)</f>
        <v>0</v>
      </c>
      <c r="M30" s="7" t="str">
        <f aca="false">COMPLEX(0,-(2*PI()/($B$2*3600))*C30)</f>
        <v>0</v>
      </c>
      <c r="N30" s="7" t="str">
        <f aca="false">COMPLEX(1,0)</f>
        <v>1</v>
      </c>
      <c r="O30" s="7" t="str">
        <f aca="false">IMSUM(IMPRODUCT(K30,O29),IMPRODUCT(L30,Q29))</f>
        <v>1+49.478862998696i</v>
      </c>
      <c r="P30" s="7" t="str">
        <f aca="false">IMSUM(IMPRODUCT(K30,P29),IMPRODUCT(L30,R29))</f>
        <v>-3.90723116116922-6.43225218983047i</v>
      </c>
      <c r="Q30" s="7" t="str">
        <f aca="false">IMSUM(IMPRODUCT(M30,O29),IMPRODUCT(N30,Q29))</f>
        <v>-13.0992414516087i</v>
      </c>
      <c r="R30" s="7" t="str">
        <f aca="false">IMSUM(IMPRODUCT(M30,P29),IMPRODUCT(N30,R29))</f>
        <v>1+1.70290138870913i</v>
      </c>
    </row>
    <row r="31" customFormat="false" ht="15" hidden="false" customHeight="false" outlineLevel="0" collapsed="false">
      <c r="A31" s="7" t="s">
        <v>66</v>
      </c>
      <c r="B31" s="7" t="s">
        <v>42</v>
      </c>
      <c r="C31" s="10" t="n">
        <f aca="false">P19/6</f>
        <v>0.755446232233843</v>
      </c>
      <c r="K31" s="7" t="str">
        <f aca="false">COMPLEX(1,0)</f>
        <v>1</v>
      </c>
      <c r="L31" s="7" t="str">
        <f aca="false">COMPLEX(-C31,0)</f>
        <v>-0.755446232233843</v>
      </c>
      <c r="M31" s="7" t="str">
        <f aca="false">COMPLEX(0,0)</f>
        <v>0</v>
      </c>
      <c r="N31" s="7" t="str">
        <f aca="false">COMPLEX(1,0)</f>
        <v>1</v>
      </c>
      <c r="O31" s="7" t="str">
        <f aca="false">IMSUM(IMPRODUCT(K31,O30),IMPRODUCT(L31,Q30))</f>
        <v>1+59.3746355984352i</v>
      </c>
      <c r="P31" s="7" t="str">
        <f aca="false">IMSUM(IMPRODUCT(K31,P30),IMPRODUCT(L31,R30))</f>
        <v>-4.66267739340306-7.71870262779656i</v>
      </c>
      <c r="Q31" s="7" t="str">
        <f aca="false">IMSUM(IMPRODUCT(M31,O30),IMPRODUCT(N31,Q30))</f>
        <v>-13.0992414516087i</v>
      </c>
      <c r="R31" s="7" t="str">
        <f aca="false">IMSUM(IMPRODUCT(M31,P30),IMPRODUCT(N31,R30))</f>
        <v>1+1.70290138870913i</v>
      </c>
    </row>
    <row r="32" customFormat="false" ht="15" hidden="false" customHeight="false" outlineLevel="0" collapsed="false">
      <c r="A32" s="7" t="s">
        <v>71</v>
      </c>
      <c r="B32" s="7" t="s">
        <v>65</v>
      </c>
      <c r="C32" s="10" t="n">
        <f aca="false">INDEX(Classes!$B$5:$F$9,MATCH(Engine!$C$5,Classes!$A$5:$A$9,0),1)*(N19*1000)</f>
        <v>180127.5</v>
      </c>
      <c r="K32" s="7" t="str">
        <f aca="false">COMPLEX(1,0)</f>
        <v>1</v>
      </c>
      <c r="L32" s="7" t="str">
        <f aca="false">COMPLEX(0,0)</f>
        <v>0</v>
      </c>
      <c r="M32" s="7" t="str">
        <f aca="false">COMPLEX(0,-(2*PI()/($B$2*3600))*C32)</f>
        <v>-13.0992414516087i</v>
      </c>
      <c r="N32" s="7" t="str">
        <f aca="false">COMPLEX(1,0)</f>
        <v>1</v>
      </c>
      <c r="O32" s="7" t="str">
        <f aca="false">IMSUM(IMPRODUCT(K32,O31),IMPRODUCT(L32,Q31))</f>
        <v>1+59.3746355984352i</v>
      </c>
      <c r="P32" s="7" t="str">
        <f aca="false">IMSUM(IMPRODUCT(K32,P31),IMPRODUCT(L32,R31))</f>
        <v>-4.66267739340306-7.71870262779656i</v>
      </c>
      <c r="Q32" s="7" t="str">
        <f aca="false">IMSUM(IMPRODUCT(M32,O31),IMPRODUCT(N32,Q31))</f>
        <v>777.762687805184-26.1984829032174i</v>
      </c>
      <c r="R32" s="7" t="str">
        <f aca="false">IMSUM(IMPRODUCT(M32,P31),IMPRODUCT(N32,R31))</f>
        <v>-100.109149414674+62.7804383758533i</v>
      </c>
    </row>
    <row r="33" customFormat="false" ht="15" hidden="false" customHeight="false" outlineLevel="0" collapsed="false">
      <c r="A33" s="7" t="s">
        <v>72</v>
      </c>
      <c r="B33" s="7" t="s">
        <v>73</v>
      </c>
      <c r="K33" s="7" t="str">
        <f aca="false">K17</f>
        <v>1</v>
      </c>
      <c r="L33" s="7" t="str">
        <f aca="false">L17</f>
        <v>-0</v>
      </c>
      <c r="M33" s="7" t="str">
        <f aca="false">M17</f>
        <v>0</v>
      </c>
      <c r="N33" s="7" t="str">
        <f aca="false">N17</f>
        <v>1</v>
      </c>
      <c r="O33" s="7" t="str">
        <f aca="false">IMSUM(IMPRODUCT(K33,O32),IMPRODUCT(L33,Q32))</f>
        <v>1+59.3746355984352i</v>
      </c>
      <c r="P33" s="7" t="str">
        <f aca="false">IMSUM(IMPRODUCT(K33,P32),IMPRODUCT(L33,R32))</f>
        <v>-4.66267739340306-7.71870262779656i</v>
      </c>
      <c r="Q33" s="7" t="str">
        <f aca="false">IMSUM(IMPRODUCT(M33,O32),IMPRODUCT(N33,Q32))</f>
        <v>777.762687805184-26.1984829032174i</v>
      </c>
      <c r="R33" s="7" t="str">
        <f aca="false">IMSUM(IMPRODUCT(M33,P32),IMPRODUCT(N33,R32))</f>
        <v>-100.109149414674+62.7804383758533i</v>
      </c>
    </row>
    <row r="34" customFormat="false" ht="15" hidden="false" customHeight="false" outlineLevel="0" collapsed="false">
      <c r="A34" s="7" t="s">
        <v>52</v>
      </c>
      <c r="B34" s="7" t="s">
        <v>73</v>
      </c>
      <c r="K34" s="7" t="str">
        <f aca="false">K18</f>
        <v>1</v>
      </c>
      <c r="L34" s="7" t="str">
        <f aca="false">L18</f>
        <v>-0.04</v>
      </c>
      <c r="M34" s="7" t="str">
        <f aca="false">M18</f>
        <v>0</v>
      </c>
      <c r="N34" s="7" t="str">
        <f aca="false">N18</f>
        <v>1</v>
      </c>
      <c r="O34" s="7" t="str">
        <f aca="false">IMSUM(IMPRODUCT(K34,O33),IMPRODUCT(L34,Q33))</f>
        <v>-30.1105075122074+60.4225749145639i</v>
      </c>
      <c r="P34" s="7" t="str">
        <f aca="false">IMSUM(IMPRODUCT(K34,P33),IMPRODUCT(L34,R33))</f>
        <v>-0.6583114168161-10.2299201628307i</v>
      </c>
      <c r="Q34" s="7" t="str">
        <f aca="false">IMSUM(IMPRODUCT(M34,O33),IMPRODUCT(N34,Q33))</f>
        <v>777.762687805184-26.1984829032174i</v>
      </c>
      <c r="R34" s="7" t="str">
        <f aca="false">IMSUM(IMPRODUCT(M34,P33),IMPRODUCT(N34,R33))</f>
        <v>-100.109149414674+62.7804383758533i</v>
      </c>
    </row>
    <row r="35" customFormat="false" ht="15" hidden="false" customHeight="false" outlineLevel="0" collapsed="false">
      <c r="A35" s="9" t="s">
        <v>74</v>
      </c>
      <c r="B35" s="13" t="n">
        <f aca="false">IMABS(IMDIV(IMPRODUCT(O34,COMPLEX(-1,0)),P34))</f>
        <v>6.58559709675401</v>
      </c>
    </row>
    <row r="38" customFormat="false" ht="15" hidden="false" customHeight="false" outlineLevel="0" collapsed="false">
      <c r="A38" s="4" t="s">
        <v>75</v>
      </c>
      <c r="B38" s="9" t="s">
        <v>18</v>
      </c>
      <c r="C38" s="7" t="str">
        <f aca="false">INDEX(Library!$F$5:$F$34,MATCH(A38,Library!$A$5:$A$34,0))</f>
        <v>IE</v>
      </c>
    </row>
    <row r="39" customFormat="false" ht="15" hidden="false" customHeight="false" outlineLevel="0" collapsed="false">
      <c r="A39" s="4" t="s">
        <v>76</v>
      </c>
      <c r="T39" s="9" t="s">
        <v>20</v>
      </c>
      <c r="U39" s="7" t="n">
        <f aca="false">MATCH($A$38,Library!$A$5:$A$34,0)</f>
        <v>2</v>
      </c>
      <c r="V39" s="9" t="s">
        <v>21</v>
      </c>
      <c r="W39" s="7" t="str">
        <f aca="false">INDEX(Library!$D$5:$D$34,$U$39)</f>
        <v>ext</v>
      </c>
      <c r="X39" s="9" t="s">
        <v>22</v>
      </c>
      <c r="Y39" s="7" t="n">
        <f aca="false">INDEX(Library!$E$5:$E$34,$U$39)</f>
        <v>0.13</v>
      </c>
    </row>
    <row r="40" customFormat="false" ht="15" hidden="false" customHeight="false" outlineLevel="0" collapsed="false">
      <c r="A40" s="9"/>
      <c r="B40" s="9" t="s">
        <v>23</v>
      </c>
      <c r="C40" s="9" t="s">
        <v>24</v>
      </c>
      <c r="D40" s="9" t="s">
        <v>25</v>
      </c>
      <c r="E40" s="9" t="s">
        <v>26</v>
      </c>
      <c r="F40" s="9" t="s">
        <v>27</v>
      </c>
      <c r="G40" s="9" t="s">
        <v>28</v>
      </c>
      <c r="H40" s="9" t="s">
        <v>29</v>
      </c>
      <c r="I40" s="9" t="s">
        <v>30</v>
      </c>
      <c r="J40" s="9" t="s">
        <v>31</v>
      </c>
      <c r="K40" s="9" t="s">
        <v>32</v>
      </c>
      <c r="L40" s="9" t="s">
        <v>33</v>
      </c>
      <c r="M40" s="9" t="s">
        <v>34</v>
      </c>
      <c r="N40" s="9" t="s">
        <v>35</v>
      </c>
      <c r="O40" s="9" t="s">
        <v>36</v>
      </c>
      <c r="P40" s="9" t="s">
        <v>37</v>
      </c>
      <c r="Q40" s="9" t="s">
        <v>38</v>
      </c>
      <c r="R40" s="9" t="s">
        <v>39</v>
      </c>
      <c r="S40" s="9" t="s">
        <v>40</v>
      </c>
      <c r="T40" s="9" t="s">
        <v>41</v>
      </c>
    </row>
    <row r="41" customFormat="false" ht="15" hidden="false" customHeight="false" outlineLevel="0" collapsed="false">
      <c r="A41" s="7" t="s">
        <v>22</v>
      </c>
      <c r="B41" s="7" t="s">
        <v>42</v>
      </c>
      <c r="H41" s="10" t="n">
        <f aca="false">$Y$39</f>
        <v>0.13</v>
      </c>
      <c r="I41" s="11" t="n">
        <f aca="false">IF(B41="mass",SQRT(E41*($B$2*3600)/(PI()*F41*G41)),0)</f>
        <v>0</v>
      </c>
      <c r="J41" s="10" t="n">
        <f aca="false">IF(B41="mass",D41/I41,0)</f>
        <v>0</v>
      </c>
      <c r="K41" s="7" t="str">
        <f aca="false">IF(B41="mass",COMPLEX(COSH(J41)*COS(J41),SINH(J41)*SIN(J41)),COMPLEX(1,0))</f>
        <v>1</v>
      </c>
      <c r="L41" s="7" t="str">
        <f aca="false">IF(B41="mass",COMPLEX(-I41/(2*E41)*(SINH(J41)*COS(J41)+COSH(J41)*SIN(J41)),-I41/(2*E41)*(COSH(J41)*SIN(J41)-SINH(J41)*COS(J41))),COMPLEX(-H41,0))</f>
        <v>-0.13</v>
      </c>
      <c r="M41" s="7" t="str">
        <f aca="false">IF(B41="mass",COMPLEX(-E41/I41*(SINH(J41)*COS(J41)-COSH(J41)*SIN(J41)),-E41/I41*(SINH(J41)*COS(J41)+COSH(J41)*SIN(J41))),COMPLEX(0,0))</f>
        <v>0</v>
      </c>
      <c r="N41" s="7" t="str">
        <f aca="false">K41</f>
        <v>1</v>
      </c>
      <c r="O41" s="7" t="str">
        <f aca="false">K41</f>
        <v>1</v>
      </c>
      <c r="P41" s="7" t="str">
        <f aca="false">L41</f>
        <v>-0.13</v>
      </c>
      <c r="Q41" s="7" t="str">
        <f aca="false">M41</f>
        <v>0</v>
      </c>
      <c r="R41" s="7" t="str">
        <f aca="false">N41</f>
        <v>1</v>
      </c>
      <c r="S41" s="10" t="n">
        <f aca="false">IF(B41="mass",D41/E41,H41)</f>
        <v>0.13</v>
      </c>
      <c r="T41" s="12" t="n">
        <f aca="false">IF(B41="mass",F41*G41*D41,0)</f>
        <v>0</v>
      </c>
    </row>
    <row r="42" customFormat="false" ht="15" hidden="false" customHeight="false" outlineLevel="0" collapsed="false">
      <c r="A42" s="7" t="s">
        <v>43</v>
      </c>
      <c r="B42" s="7" t="str">
        <f aca="false">IF(C42="","none",IF(C42="Cavity","res","mass"))</f>
        <v>mass</v>
      </c>
      <c r="C42" s="7" t="str">
        <f aca="false">IF(INDEX(Library!$G$5:$G$34,$U$39)="","",INDEX(Library!$G$5:$G$34,$U$39))</f>
        <v>plasterboard</v>
      </c>
      <c r="D42" s="11" t="n">
        <f aca="false">IF(B42="mass",INDEX(Library!$H$5:$H$34,$U$39)/1000,0)</f>
        <v>0.0125</v>
      </c>
      <c r="E42" s="7" t="n">
        <f aca="false">IF(B42="mass",INDEX(Materials!$B$5:$B$28,MATCH(C42,Materials!$A$5:$A$28,0)),0)</f>
        <v>0.21</v>
      </c>
      <c r="F42" s="7" t="n">
        <f aca="false">IF(B42="mass",INDEX(Materials!$C$5:$C$28,MATCH(C42,Materials!$A$5:$A$28,0)),0)</f>
        <v>700</v>
      </c>
      <c r="G42" s="7" t="n">
        <f aca="false">IF(B42="mass",INDEX(Materials!$D$5:$D$28,MATCH(C42,Materials!$A$5:$A$28,0)),0)</f>
        <v>1000</v>
      </c>
      <c r="H42" s="10" t="n">
        <f aca="false">IF(B42="res",INDEX(Library!$H$5:$H$34,$U$39),0)</f>
        <v>0</v>
      </c>
      <c r="I42" s="11" t="n">
        <f aca="false">IF(B42="mass",SQRT(E42*($B$2*3600)/(PI()*F42*G42)),0)</f>
        <v>0.0908327707927258</v>
      </c>
      <c r="J42" s="10" t="n">
        <f aca="false">IF(B42="mass",D42/I42,0)</f>
        <v>0.137615531166875</v>
      </c>
      <c r="K42" s="7" t="str">
        <f aca="false">IF(B42="mass",COMPLEX(COSH(J42)*COS(J42),SINH(J42)*SIN(J42)),COMPLEX(1,0))</f>
        <v>0.999940225193105+0.0189379589504749i</v>
      </c>
      <c r="L42" s="7" t="str">
        <f aca="false">IF(B42="mass",COMPLEX(-I42/(2*E42)*(SINH(J42)*COS(J42)+COSH(J42)*SIN(J42)),-I42/(2*E42)*(COSH(J42)*SIN(J42)-SINH(J42)*COS(J42))),COMPLEX(-H42,0))</f>
        <v>-0.0595230979186955-0.000375754009423939i</v>
      </c>
      <c r="M42" s="7" t="str">
        <f aca="false">IF(B42="mass",COMPLEX(-E42/I42*(SINH(J42)*COS(J42)-COSH(J42)*SIN(J42)),-E42/I42*(SINH(J42)*COS(J42)+COSH(J42)*SIN(J42))),COMPLEX(0,0))</f>
        <v>0.00401686359323574-0.636310349296785i</v>
      </c>
      <c r="N42" s="7" t="str">
        <f aca="false">K42</f>
        <v>0.999940225193105+0.0189379589504749i</v>
      </c>
      <c r="O42" s="7" t="str">
        <f aca="false">IMSUM(IMPRODUCT(K42,O41),IMPRODUCT(L42,Q41))</f>
        <v>0.999940225193105+0.0189379589504749i</v>
      </c>
      <c r="P42" s="7" t="str">
        <f aca="false">IMSUM(IMPRODUCT(K42,P41),IMPRODUCT(L42,R41))</f>
        <v>-0.1895153271938-0.00283768867298567i</v>
      </c>
      <c r="Q42" s="7" t="str">
        <f aca="false">IMSUM(IMPRODUCT(M42,O41),IMPRODUCT(N42,Q41))</f>
        <v>0.00401686359323574-0.636310349296785i</v>
      </c>
      <c r="R42" s="7" t="str">
        <f aca="false">IMSUM(IMPRODUCT(M42,P41),IMPRODUCT(N42,R41))</f>
        <v>0.999418032925984+0.101658304359057i</v>
      </c>
      <c r="S42" s="10" t="n">
        <f aca="false">IF(B42="mass",D42/E42,H42)</f>
        <v>0.0595238095238095</v>
      </c>
      <c r="T42" s="12" t="n">
        <f aca="false">IF(B42="mass",F42*G42*D42,0)</f>
        <v>8750</v>
      </c>
    </row>
    <row r="43" customFormat="false" ht="15" hidden="false" customHeight="false" outlineLevel="0" collapsed="false">
      <c r="A43" s="7" t="s">
        <v>44</v>
      </c>
      <c r="B43" s="7" t="str">
        <f aca="false">IF(C43="","none",IF(C43="Cavity","res","mass"))</f>
        <v>res</v>
      </c>
      <c r="C43" s="7" t="str">
        <f aca="false">IF(INDEX(Library!$I$5:$I$34,$U$39)="","",INDEX(Library!$I$5:$I$34,$U$39))</f>
        <v>Cavity</v>
      </c>
      <c r="D43" s="11" t="n">
        <f aca="false">IF(B43="mass",INDEX(Library!$J$5:$J$34,$U$39)/1000,0)</f>
        <v>0</v>
      </c>
      <c r="E43" s="7" t="n">
        <f aca="false">IF(B43="mass",INDEX(Materials!$B$5:$B$28,MATCH(C43,Materials!$A$5:$A$28,0)),0)</f>
        <v>0</v>
      </c>
      <c r="F43" s="7" t="n">
        <f aca="false">IF(B43="mass",INDEX(Materials!$C$5:$C$28,MATCH(C43,Materials!$A$5:$A$28,0)),0)</f>
        <v>0</v>
      </c>
      <c r="G43" s="7" t="n">
        <f aca="false">IF(B43="mass",INDEX(Materials!$D$5:$D$28,MATCH(C43,Materials!$A$5:$A$28,0)),0)</f>
        <v>0</v>
      </c>
      <c r="H43" s="10" t="n">
        <f aca="false">IF(B43="res",INDEX(Library!$J$5:$J$34,$U$39),0)</f>
        <v>0.1</v>
      </c>
      <c r="I43" s="11" t="n">
        <f aca="false">IF(B43="mass",SQRT(E43*($B$2*3600)/(PI()*F43*G43)),0)</f>
        <v>0</v>
      </c>
      <c r="J43" s="10" t="n">
        <f aca="false">IF(B43="mass",D43/I43,0)</f>
        <v>0</v>
      </c>
      <c r="K43" s="7" t="str">
        <f aca="false">IF(B43="mass",COMPLEX(COSH(J43)*COS(J43),SINH(J43)*SIN(J43)),COMPLEX(1,0))</f>
        <v>1</v>
      </c>
      <c r="L43" s="7" t="str">
        <f aca="false">IF(B43="mass",COMPLEX(-I43/(2*E43)*(SINH(J43)*COS(J43)+COSH(J43)*SIN(J43)),-I43/(2*E43)*(COSH(J43)*SIN(J43)-SINH(J43)*COS(J43))),COMPLEX(-H43,0))</f>
        <v>-0.1</v>
      </c>
      <c r="M43" s="7" t="str">
        <f aca="false">IF(B43="mass",COMPLEX(-E43/I43*(SINH(J43)*COS(J43)-COSH(J43)*SIN(J43)),-E43/I43*(SINH(J43)*COS(J43)+COSH(J43)*SIN(J43))),COMPLEX(0,0))</f>
        <v>0</v>
      </c>
      <c r="N43" s="7" t="str">
        <f aca="false">K43</f>
        <v>1</v>
      </c>
      <c r="O43" s="7" t="str">
        <f aca="false">IMSUM(IMPRODUCT(K43,O42),IMPRODUCT(L43,Q42))</f>
        <v>0.999538538833782+0.0825689938801534i</v>
      </c>
      <c r="P43" s="7" t="str">
        <f aca="false">IMSUM(IMPRODUCT(K43,P42),IMPRODUCT(L43,R42))</f>
        <v>-0.289457130486398-0.0130035191088914i</v>
      </c>
      <c r="Q43" s="7" t="str">
        <f aca="false">IMSUM(IMPRODUCT(M43,O42),IMPRODUCT(N43,Q42))</f>
        <v>0.00401686359323574-0.636310349296785i</v>
      </c>
      <c r="R43" s="7" t="str">
        <f aca="false">IMSUM(IMPRODUCT(M43,P42),IMPRODUCT(N43,R42))</f>
        <v>0.999418032925984+0.101658304359057i</v>
      </c>
      <c r="S43" s="10" t="n">
        <f aca="false">IF(B43="mass",D43/E43,H43)</f>
        <v>0.1</v>
      </c>
      <c r="T43" s="12" t="n">
        <f aca="false">IF(B43="mass",F43*G43*D43,0)</f>
        <v>0</v>
      </c>
    </row>
    <row r="44" customFormat="false" ht="15" hidden="false" customHeight="false" outlineLevel="0" collapsed="false">
      <c r="A44" s="7" t="s">
        <v>45</v>
      </c>
      <c r="B44" s="7" t="str">
        <f aca="false">IF(C44="","none",IF(C44="Cavity","res","mass"))</f>
        <v>mass</v>
      </c>
      <c r="C44" s="7" t="str">
        <f aca="false">IF(INDEX(Library!$K$5:$K$34,$U$39)="","",INDEX(Library!$K$5:$K$34,$U$39))</f>
        <v>dense block</v>
      </c>
      <c r="D44" s="11" t="n">
        <f aca="false">IF(B44="mass",INDEX(Library!$L$5:$L$34,$U$39)/1000,0)</f>
        <v>0.1</v>
      </c>
      <c r="E44" s="7" t="n">
        <f aca="false">IF(B44="mass",INDEX(Materials!$B$5:$B$28,MATCH(C44,Materials!$A$5:$A$28,0)),0)</f>
        <v>1.13</v>
      </c>
      <c r="F44" s="7" t="n">
        <f aca="false">IF(B44="mass",INDEX(Materials!$C$5:$C$28,MATCH(C44,Materials!$A$5:$A$28,0)),0)</f>
        <v>2000</v>
      </c>
      <c r="G44" s="7" t="n">
        <f aca="false">IF(B44="mass",INDEX(Materials!$D$5:$D$28,MATCH(C44,Materials!$A$5:$A$28,0)),0)</f>
        <v>1000</v>
      </c>
      <c r="H44" s="10" t="n">
        <f aca="false">IF(B44="res",INDEX(Library!$L$5:$L$34,$U$39),0)</f>
        <v>0</v>
      </c>
      <c r="I44" s="11" t="n">
        <f aca="false">IF(B44="mass",SQRT(E44*($B$2*3600)/(PI()*F44*G44)),0)</f>
        <v>0.124653982703915</v>
      </c>
      <c r="J44" s="10" t="n">
        <f aca="false">IF(B44="mass",D44/I44,0)</f>
        <v>0.802220657782957</v>
      </c>
      <c r="K44" s="7" t="str">
        <f aca="false">IF(B44="mass",COMPLEX(COSH(J44)*COS(J44),SINH(J44)*SIN(J44)),COMPLEX(1,0))</f>
        <v>0.931040246556561+0.640597397168838i</v>
      </c>
      <c r="L44" s="7" t="str">
        <f aca="false">IF(B44="mass",COMPLEX(-I44/(2*E44)*(SINH(J44)*COS(J44)+COSH(J44)*SIN(J44)),-I44/(2*E44)*(COSH(J44)*SIN(J44)-SINH(J44)*COS(J44))),COMPLEX(-H44,0))</f>
        <v>-0.0872745132646335-0.0189465784438884i</v>
      </c>
      <c r="M44" s="7" t="str">
        <f aca="false">IF(B44="mass",COMPLEX(-E44/I44*(SINH(J44)*COS(J44)-COSH(J44)*SIN(J44)),-E44/I44*(SINH(J44)*COS(J44)+COSH(J44)*SIN(J44))),COMPLEX(0,0))</f>
        <v>3.11390498909631-14.3437266565329i</v>
      </c>
      <c r="N44" s="7" t="str">
        <f aca="false">K44</f>
        <v>0.931040246556561+0.640597397168838i</v>
      </c>
      <c r="O44" s="7" t="str">
        <f aca="false">IMSUM(IMPRODUCT(K44,O43),IMPRODUCT(L44,Q43))</f>
        <v>0.865310651309553+0.772634412965928i</v>
      </c>
      <c r="P44" s="7" t="str">
        <f aca="false">IMSUM(IMPRODUCT(K44,P43),IMPRODUCT(L44,R43))</f>
        <v>-0.346463862973921-0.225340015210106i</v>
      </c>
      <c r="Q44" s="7" t="str">
        <f aca="false">IMSUM(IMPRODUCT(M44,O43),IMPRODUCT(N44,Q43))</f>
        <v>4.70817373661176-14.6698529338472i</v>
      </c>
      <c r="R44" s="7" t="str">
        <f aca="false">IMSUM(IMPRODUCT(M44,P43),IMPRODUCT(N44,R43))</f>
        <v>-0.222484559806568+4.84627479878324i</v>
      </c>
      <c r="S44" s="10" t="n">
        <f aca="false">IF(B44="mass",D44/E44,H44)</f>
        <v>0.088495575221239</v>
      </c>
      <c r="T44" s="12" t="n">
        <f aca="false">IF(B44="mass",F44*G44*D44,0)</f>
        <v>200000</v>
      </c>
    </row>
    <row r="45" customFormat="false" ht="15" hidden="false" customHeight="false" outlineLevel="0" collapsed="false">
      <c r="A45" s="7" t="s">
        <v>46</v>
      </c>
      <c r="B45" s="7" t="str">
        <f aca="false">IF(C45="","none",IF(C45="Cavity","res","mass"))</f>
        <v>mass</v>
      </c>
      <c r="C45" s="7" t="str">
        <f aca="false">IF(INDEX(Library!$M$5:$M$34,$U$39)="","",INDEX(Library!$M$5:$M$34,$U$39))</f>
        <v>mineral wool</v>
      </c>
      <c r="D45" s="11" t="n">
        <f aca="false">IF(B45="mass",INDEX(Library!$N$5:$N$34,$U$39)/1000,0)</f>
        <v>0.15</v>
      </c>
      <c r="E45" s="7" t="n">
        <f aca="false">IF(B45="mass",INDEX(Materials!$B$5:$B$28,MATCH(C45,Materials!$A$5:$A$28,0)),0)</f>
        <v>0.035</v>
      </c>
      <c r="F45" s="7" t="n">
        <f aca="false">IF(B45="mass",INDEX(Materials!$C$5:$C$28,MATCH(C45,Materials!$A$5:$A$28,0)),0)</f>
        <v>30</v>
      </c>
      <c r="G45" s="7" t="n">
        <f aca="false">IF(B45="mass",INDEX(Materials!$D$5:$D$28,MATCH(C45,Materials!$A$5:$A$28,0)),0)</f>
        <v>1030</v>
      </c>
      <c r="H45" s="10" t="n">
        <f aca="false">IF(B45="res",INDEX(Library!$N$5:$N$34,$U$39),0)</f>
        <v>0</v>
      </c>
      <c r="I45" s="11" t="n">
        <f aca="false">IF(B45="mass",SQRT(E45*($B$2*3600)/(PI()*F45*G45)),0)</f>
        <v>0.176496751881128</v>
      </c>
      <c r="J45" s="10" t="n">
        <f aca="false">IF(B45="mass",D45/I45,0)</f>
        <v>0.849873997120504</v>
      </c>
      <c r="K45" s="7" t="str">
        <f aca="false">IF(B45="mass",COMPLEX(COSH(J45)*COS(J45),SINH(J45)*SIN(J45)),COMPLEX(1,0))</f>
        <v>0.913158518565511+0.718100720020173i</v>
      </c>
      <c r="L45" s="7" t="str">
        <f aca="false">IF(B45="mass",COMPLEX(-I45/(2*E45)*(SINH(J45)*COS(J45)+COSH(J45)*SIN(J45)),-I45/(2*E45)*(COSH(J45)*SIN(J45)-SINH(J45)*COS(J45))),COMPLEX(-H45,0))</f>
        <v>-4.21123759620779-1.02927418634689i</v>
      </c>
      <c r="M45" s="7" t="str">
        <f aca="false">IF(B45="mass",COMPLEX(-E45/I45*(SINH(J45)*COS(J45)-COSH(J45)*SIN(J45)),-E45/I45*(SINH(J45)*COS(J45)+COSH(J45)*SIN(J45))),COMPLEX(0,0))</f>
        <v>0.0809512819555347-0.331209202129424i</v>
      </c>
      <c r="N45" s="7" t="str">
        <f aca="false">K45</f>
        <v>0.913158518565511+0.718100720020173i</v>
      </c>
      <c r="O45" s="7" t="str">
        <f aca="false">IMSUM(IMPRODUCT(K45,O44),IMPRODUCT(L45,Q44))</f>
        <v>-34.6912027272261+58.2591524116088i</v>
      </c>
      <c r="P45" s="7" t="str">
        <f aca="false">IMSUM(IMPRODUCT(K45,P44),IMPRODUCT(L45,R44))</f>
        <v>5.7705212924862-20.634384123846i</v>
      </c>
      <c r="Q45" s="7" t="str">
        <f aca="false">IMSUM(IMPRODUCT(M45,O44),IMPRODUCT(N45,Q44))</f>
        <v>15.1596925428287-10.2390113266067i</v>
      </c>
      <c r="R45" s="7" t="str">
        <f aca="false">IMSUM(IMPRODUCT(M45,P44),IMPRODUCT(N45,R44))</f>
        <v>-3.78595847396311+4.36216124974294i</v>
      </c>
      <c r="S45" s="10" t="n">
        <f aca="false">IF(B45="mass",D45/E45,H45)</f>
        <v>4.28571428571429</v>
      </c>
      <c r="T45" s="12" t="n">
        <f aca="false">IF(B45="mass",F45*G45*D45,0)</f>
        <v>4635</v>
      </c>
    </row>
    <row r="46" customFormat="false" ht="15" hidden="false" customHeight="false" outlineLevel="0" collapsed="false">
      <c r="A46" s="7" t="s">
        <v>47</v>
      </c>
      <c r="B46" s="7" t="str">
        <f aca="false">IF(C46="","none",IF(C46="Cavity","res","mass"))</f>
        <v>mass</v>
      </c>
      <c r="C46" s="7" t="str">
        <f aca="false">IF(INDEX(Library!$O$5:$O$34,$U$39)="","",INDEX(Library!$O$5:$O$34,$U$39))</f>
        <v>brick</v>
      </c>
      <c r="D46" s="11" t="n">
        <f aca="false">IF(B46="mass",INDEX(Library!$P$5:$P$34,$U$39)/1000,0)</f>
        <v>0.102</v>
      </c>
      <c r="E46" s="7" t="n">
        <f aca="false">IF(B46="mass",INDEX(Materials!$B$5:$B$28,MATCH(C46,Materials!$A$5:$A$28,0)),0)</f>
        <v>0.77</v>
      </c>
      <c r="F46" s="7" t="n">
        <f aca="false">IF(B46="mass",INDEX(Materials!$C$5:$C$28,MATCH(C46,Materials!$A$5:$A$28,0)),0)</f>
        <v>1700</v>
      </c>
      <c r="G46" s="7" t="n">
        <f aca="false">IF(B46="mass",INDEX(Materials!$D$5:$D$28,MATCH(C46,Materials!$A$5:$A$28,0)),0)</f>
        <v>800</v>
      </c>
      <c r="H46" s="10" t="n">
        <f aca="false">IF(B46="res",INDEX(Library!$P$5:$P$34,$U$39),0)</f>
        <v>0</v>
      </c>
      <c r="I46" s="11" t="n">
        <f aca="false">IF(B46="mass",SQRT(E46*($B$2*3600)/(PI()*F46*G46)),0)</f>
        <v>0.12478369552018</v>
      </c>
      <c r="J46" s="10" t="n">
        <f aca="false">IF(B46="mass",D46/I46,0)</f>
        <v>0.81741448331689</v>
      </c>
      <c r="K46" s="7" t="str">
        <f aca="false">IF(B46="mass",COMPLEX(COSH(J46)*COS(J46),SINH(J46)*SIN(J46)),COMPLEX(1,0))</f>
        <v>0.925671349743335+0.664853161913343i</v>
      </c>
      <c r="L46" s="7" t="str">
        <f aca="false">IF(B46="mass",COMPLEX(-I46/(2*E46)*(SINH(J46)*COS(J46)+COSH(J46)*SIN(J46)),-I46/(2*E46)*(COSH(J46)*SIN(J46)-SINH(J46)*COS(J46))),COMPLEX(-H46,0))</f>
        <v>-0.130497374771535-0.0294407447988599i</v>
      </c>
      <c r="M46" s="7" t="str">
        <f aca="false">IF(B46="mass",COMPLEX(-E46/I46*(SINH(J46)*COS(J46)-COSH(J46)*SIN(J46)),-E46/I46*(SINH(J46)*COS(J46)+COSH(J46)*SIN(J46))),COMPLEX(0,0))</f>
        <v>2.24204617217389-9.93796663719564i</v>
      </c>
      <c r="N46" s="7" t="str">
        <f aca="false">K46</f>
        <v>0.925671349743335+0.664853161913343i</v>
      </c>
      <c r="O46" s="7" t="str">
        <f aca="false">IMSUM(IMPRODUCT(K46,O45),IMPRODUCT(L46,Q45))</f>
        <v>-73.1261783426225+31.7541238829791i</v>
      </c>
      <c r="P46" s="7" t="str">
        <f aca="false">IMSUM(IMPRODUCT(K46,P45),IMPRODUCT(L46,R45))</f>
        <v>19.6829246803833-15.7218980300158i</v>
      </c>
      <c r="Q46" s="7" t="str">
        <f aca="false">IMSUM(IMPRODUCT(M46,O45),IMPRODUCT(N46,Q45))</f>
        <v>522.038566808353+475.980735051902i</v>
      </c>
      <c r="R46" s="7" t="str">
        <f aca="false">IMSUM(IMPRODUCT(M46,P45),IMPRODUCT(N46,R45))</f>
        <v>-198.530795816927-102.089668794429i</v>
      </c>
      <c r="S46" s="10" t="n">
        <f aca="false">IF(B46="mass",D46/E46,H46)</f>
        <v>0.132467532467532</v>
      </c>
      <c r="T46" s="12" t="n">
        <f aca="false">IF(B46="mass",F46*G46*D46,0)</f>
        <v>138720</v>
      </c>
    </row>
    <row r="47" customFormat="false" ht="15" hidden="false" customHeight="false" outlineLevel="0" collapsed="false">
      <c r="A47" s="7" t="s">
        <v>48</v>
      </c>
      <c r="B47" s="7" t="str">
        <f aca="false">IF(C47="","none",IF(C47="Cavity","res","mass"))</f>
        <v>none</v>
      </c>
      <c r="C47" s="7" t="str">
        <f aca="false">IF(INDEX(Library!$Q$5:$Q$34,$U$39)="","",INDEX(Library!$Q$5:$Q$34,$U$39))</f>
        <v/>
      </c>
      <c r="D47" s="11" t="n">
        <f aca="false">IF(B47="mass",INDEX(Library!$R$5:$R$34,$U$39)/1000,0)</f>
        <v>0</v>
      </c>
      <c r="E47" s="7" t="n">
        <f aca="false">IF(B47="mass",INDEX(Materials!$B$5:$B$28,MATCH(C47,Materials!$A$5:$A$28,0)),0)</f>
        <v>0</v>
      </c>
      <c r="F47" s="7" t="n">
        <f aca="false">IF(B47="mass",INDEX(Materials!$C$5:$C$28,MATCH(C47,Materials!$A$5:$A$28,0)),0)</f>
        <v>0</v>
      </c>
      <c r="G47" s="7" t="n">
        <f aca="false">IF(B47="mass",INDEX(Materials!$D$5:$D$28,MATCH(C47,Materials!$A$5:$A$28,0)),0)</f>
        <v>0</v>
      </c>
      <c r="H47" s="10" t="n">
        <f aca="false">IF(B47="res",INDEX(Library!$R$5:$R$34,$U$39),0)</f>
        <v>0</v>
      </c>
      <c r="I47" s="11" t="n">
        <f aca="false">IF(B47="mass",SQRT(E47*($B$2*3600)/(PI()*F47*G47)),0)</f>
        <v>0</v>
      </c>
      <c r="J47" s="10" t="n">
        <f aca="false">IF(B47="mass",D47/I47,0)</f>
        <v>0</v>
      </c>
      <c r="K47" s="7" t="str">
        <f aca="false">IF(B47="mass",COMPLEX(COSH(J47)*COS(J47),SINH(J47)*SIN(J47)),COMPLEX(1,0))</f>
        <v>1</v>
      </c>
      <c r="L47" s="7" t="str">
        <f aca="false">IF(B47="mass",COMPLEX(-I47/(2*E47)*(SINH(J47)*COS(J47)+COSH(J47)*SIN(J47)),-I47/(2*E47)*(COSH(J47)*SIN(J47)-SINH(J47)*COS(J47))),COMPLEX(-H47,0))</f>
        <v>-0</v>
      </c>
      <c r="M47" s="7" t="str">
        <f aca="false">IF(B47="mass",COMPLEX(-E47/I47*(SINH(J47)*COS(J47)-COSH(J47)*SIN(J47)),-E47/I47*(SINH(J47)*COS(J47)+COSH(J47)*SIN(J47))),COMPLEX(0,0))</f>
        <v>0</v>
      </c>
      <c r="N47" s="7" t="str">
        <f aca="false">K47</f>
        <v>1</v>
      </c>
      <c r="O47" s="7" t="str">
        <f aca="false">IMSUM(IMPRODUCT(K47,O46),IMPRODUCT(L47,Q46))</f>
        <v>-73.1261783426225+31.7541238829791i</v>
      </c>
      <c r="P47" s="7" t="str">
        <f aca="false">IMSUM(IMPRODUCT(K47,P46),IMPRODUCT(L47,R46))</f>
        <v>19.6829246803833-15.7218980300158i</v>
      </c>
      <c r="Q47" s="7" t="str">
        <f aca="false">IMSUM(IMPRODUCT(M47,O46),IMPRODUCT(N47,Q46))</f>
        <v>522.038566808353+475.980735051902i</v>
      </c>
      <c r="R47" s="7" t="str">
        <f aca="false">IMSUM(IMPRODUCT(M47,P46),IMPRODUCT(N47,R46))</f>
        <v>-198.530795816927-102.089668794429i</v>
      </c>
      <c r="S47" s="10" t="n">
        <f aca="false">IF(B47="mass",D47/E47,H47)</f>
        <v>0</v>
      </c>
      <c r="T47" s="12" t="n">
        <f aca="false">IF(B47="mass",F47*G47*D47,0)</f>
        <v>0</v>
      </c>
    </row>
    <row r="48" customFormat="false" ht="15" hidden="false" customHeight="false" outlineLevel="0" collapsed="false">
      <c r="A48" s="7" t="s">
        <v>49</v>
      </c>
      <c r="B48" s="7" t="str">
        <f aca="false">IF(C48="","none",IF(C48="Cavity","res","mass"))</f>
        <v>none</v>
      </c>
      <c r="C48" s="7" t="str">
        <f aca="false">IF(INDEX(Library!$S$5:$S$34,$U$39)="","",INDEX(Library!$S$5:$S$34,$U$39))</f>
        <v/>
      </c>
      <c r="D48" s="11" t="n">
        <f aca="false">IF(B48="mass",INDEX(Library!$T$5:$T$34,$U$39)/1000,0)</f>
        <v>0</v>
      </c>
      <c r="E48" s="7" t="n">
        <f aca="false">IF(B48="mass",INDEX(Materials!$B$5:$B$28,MATCH(C48,Materials!$A$5:$A$28,0)),0)</f>
        <v>0</v>
      </c>
      <c r="F48" s="7" t="n">
        <f aca="false">IF(B48="mass",INDEX(Materials!$C$5:$C$28,MATCH(C48,Materials!$A$5:$A$28,0)),0)</f>
        <v>0</v>
      </c>
      <c r="G48" s="7" t="n">
        <f aca="false">IF(B48="mass",INDEX(Materials!$D$5:$D$28,MATCH(C48,Materials!$A$5:$A$28,0)),0)</f>
        <v>0</v>
      </c>
      <c r="H48" s="10" t="n">
        <f aca="false">IF(B48="res",INDEX(Library!$T$5:$T$34,$U$39),0)</f>
        <v>0</v>
      </c>
      <c r="I48" s="11" t="n">
        <f aca="false">IF(B48="mass",SQRT(E48*($B$2*3600)/(PI()*F48*G48)),0)</f>
        <v>0</v>
      </c>
      <c r="J48" s="10" t="n">
        <f aca="false">IF(B48="mass",D48/I48,0)</f>
        <v>0</v>
      </c>
      <c r="K48" s="7" t="str">
        <f aca="false">IF(B48="mass",COMPLEX(COSH(J48)*COS(J48),SINH(J48)*SIN(J48)),COMPLEX(1,0))</f>
        <v>1</v>
      </c>
      <c r="L48" s="7" t="str">
        <f aca="false">IF(B48="mass",COMPLEX(-I48/(2*E48)*(SINH(J48)*COS(J48)+COSH(J48)*SIN(J48)),-I48/(2*E48)*(COSH(J48)*SIN(J48)-SINH(J48)*COS(J48))),COMPLEX(-H48,0))</f>
        <v>-0</v>
      </c>
      <c r="M48" s="7" t="str">
        <f aca="false">IF(B48="mass",COMPLEX(-E48/I48*(SINH(J48)*COS(J48)-COSH(J48)*SIN(J48)),-E48/I48*(SINH(J48)*COS(J48)+COSH(J48)*SIN(J48))),COMPLEX(0,0))</f>
        <v>0</v>
      </c>
      <c r="N48" s="7" t="str">
        <f aca="false">K48</f>
        <v>1</v>
      </c>
      <c r="O48" s="7" t="str">
        <f aca="false">IMSUM(IMPRODUCT(K48,O47),IMPRODUCT(L48,Q47))</f>
        <v>-73.1261783426225+31.7541238829791i</v>
      </c>
      <c r="P48" s="7" t="str">
        <f aca="false">IMSUM(IMPRODUCT(K48,P47),IMPRODUCT(L48,R47))</f>
        <v>19.6829246803833-15.7218980300158i</v>
      </c>
      <c r="Q48" s="7" t="str">
        <f aca="false">IMSUM(IMPRODUCT(M48,O47),IMPRODUCT(N48,Q47))</f>
        <v>522.038566808353+475.980735051902i</v>
      </c>
      <c r="R48" s="7" t="str">
        <f aca="false">IMSUM(IMPRODUCT(M48,P47),IMPRODUCT(N48,R47))</f>
        <v>-198.530795816927-102.089668794429i</v>
      </c>
      <c r="S48" s="10" t="n">
        <f aca="false">IF(B48="mass",D48/E48,H48)</f>
        <v>0</v>
      </c>
      <c r="T48" s="12" t="n">
        <f aca="false">IF(B48="mass",F48*G48*D48,0)</f>
        <v>0</v>
      </c>
    </row>
    <row r="49" customFormat="false" ht="15" hidden="false" customHeight="false" outlineLevel="0" collapsed="false">
      <c r="A49" s="7" t="s">
        <v>50</v>
      </c>
      <c r="B49" s="7" t="str">
        <f aca="false">IF(C49="","none",IF(C49="Cavity","res","mass"))</f>
        <v>none</v>
      </c>
      <c r="C49" s="7" t="str">
        <f aca="false">IF(INDEX(Library!$U$5:$U$34,$U$39)="","",INDEX(Library!$U$5:$U$34,$U$39))</f>
        <v/>
      </c>
      <c r="D49" s="11" t="n">
        <f aca="false">IF(B49="mass",INDEX(Library!$V$5:$V$34,$U$39)/1000,0)</f>
        <v>0</v>
      </c>
      <c r="E49" s="7" t="n">
        <f aca="false">IF(B49="mass",INDEX(Materials!$B$5:$B$28,MATCH(C49,Materials!$A$5:$A$28,0)),0)</f>
        <v>0</v>
      </c>
      <c r="F49" s="7" t="n">
        <f aca="false">IF(B49="mass",INDEX(Materials!$C$5:$C$28,MATCH(C49,Materials!$A$5:$A$28,0)),0)</f>
        <v>0</v>
      </c>
      <c r="G49" s="7" t="n">
        <f aca="false">IF(B49="mass",INDEX(Materials!$D$5:$D$28,MATCH(C49,Materials!$A$5:$A$28,0)),0)</f>
        <v>0</v>
      </c>
      <c r="H49" s="10" t="n">
        <f aca="false">IF(B49="res",INDEX(Library!$V$5:$V$34,$U$39),0)</f>
        <v>0</v>
      </c>
      <c r="I49" s="11" t="n">
        <f aca="false">IF(B49="mass",SQRT(E49*($B$2*3600)/(PI()*F49*G49)),0)</f>
        <v>0</v>
      </c>
      <c r="J49" s="10" t="n">
        <f aca="false">IF(B49="mass",D49/I49,0)</f>
        <v>0</v>
      </c>
      <c r="K49" s="7" t="str">
        <f aca="false">IF(B49="mass",COMPLEX(COSH(J49)*COS(J49),SINH(J49)*SIN(J49)),COMPLEX(1,0))</f>
        <v>1</v>
      </c>
      <c r="L49" s="7" t="str">
        <f aca="false">IF(B49="mass",COMPLEX(-I49/(2*E49)*(SINH(J49)*COS(J49)+COSH(J49)*SIN(J49)),-I49/(2*E49)*(COSH(J49)*SIN(J49)-SINH(J49)*COS(J49))),COMPLEX(-H49,0))</f>
        <v>-0</v>
      </c>
      <c r="M49" s="7" t="str">
        <f aca="false">IF(B49="mass",COMPLEX(-E49/I49*(SINH(J49)*COS(J49)-COSH(J49)*SIN(J49)),-E49/I49*(SINH(J49)*COS(J49)+COSH(J49)*SIN(J49))),COMPLEX(0,0))</f>
        <v>0</v>
      </c>
      <c r="N49" s="7" t="str">
        <f aca="false">K49</f>
        <v>1</v>
      </c>
      <c r="O49" s="7" t="str">
        <f aca="false">IMSUM(IMPRODUCT(K49,O48),IMPRODUCT(L49,Q48))</f>
        <v>-73.1261783426225+31.7541238829791i</v>
      </c>
      <c r="P49" s="7" t="str">
        <f aca="false">IMSUM(IMPRODUCT(K49,P48),IMPRODUCT(L49,R48))</f>
        <v>19.6829246803833-15.7218980300158i</v>
      </c>
      <c r="Q49" s="7" t="str">
        <f aca="false">IMSUM(IMPRODUCT(M49,O48),IMPRODUCT(N49,Q48))</f>
        <v>522.038566808353+475.980735051902i</v>
      </c>
      <c r="R49" s="7" t="str">
        <f aca="false">IMSUM(IMPRODUCT(M49,P48),IMPRODUCT(N49,R48))</f>
        <v>-198.530795816927-102.089668794429i</v>
      </c>
      <c r="S49" s="10" t="n">
        <f aca="false">IF(B49="mass",D49/E49,H49)</f>
        <v>0</v>
      </c>
      <c r="T49" s="12" t="n">
        <f aca="false">IF(B49="mass",F49*G49*D49,0)</f>
        <v>0</v>
      </c>
    </row>
    <row r="50" customFormat="false" ht="15" hidden="false" customHeight="false" outlineLevel="0" collapsed="false">
      <c r="A50" s="7" t="s">
        <v>51</v>
      </c>
      <c r="B50" s="7" t="str">
        <f aca="false">IF($W$39="ground","mass",IF($W$39="adiabatic","res","none"))</f>
        <v>none</v>
      </c>
      <c r="C50" s="7" t="str">
        <f aca="false">IF($W$39="ground","clay soil","")</f>
        <v/>
      </c>
      <c r="D50" s="11" t="n">
        <f aca="false">IF(B50="mass",1,0)</f>
        <v>0</v>
      </c>
      <c r="E50" s="7" t="n">
        <f aca="false">IF(B50="mass",INDEX(Materials!$B$5:$B$28,MATCH(C50,Materials!$A$5:$A$28,0)),0)</f>
        <v>0</v>
      </c>
      <c r="F50" s="7" t="n">
        <f aca="false">IF(B50="mass",INDEX(Materials!$C$5:$C$28,MATCH(C50,Materials!$A$5:$A$28,0)),0)</f>
        <v>0</v>
      </c>
      <c r="G50" s="7" t="n">
        <f aca="false">IF(B50="mass",INDEX(Materials!$D$5:$D$28,MATCH(C50,Materials!$A$5:$A$28,0)),0)</f>
        <v>0</v>
      </c>
      <c r="H50" s="12" t="n">
        <f aca="false">IF(B50="res",1000000,0)</f>
        <v>0</v>
      </c>
      <c r="I50" s="11" t="n">
        <f aca="false">IF(B50="mass",SQRT(E50*($B$2*3600)/(PI()*F50*G50)),0)</f>
        <v>0</v>
      </c>
      <c r="J50" s="10" t="n">
        <f aca="false">IF(B50="mass",D50/I50,0)</f>
        <v>0</v>
      </c>
      <c r="K50" s="7" t="str">
        <f aca="false">IF(B50="mass",COMPLEX(COSH(J50)*COS(J50),SINH(J50)*SIN(J50)),COMPLEX(1,0))</f>
        <v>1</v>
      </c>
      <c r="L50" s="7" t="str">
        <f aca="false">IF(B50="mass",COMPLEX(-I50/(2*E50)*(SINH(J50)*COS(J50)+COSH(J50)*SIN(J50)),-I50/(2*E50)*(COSH(J50)*SIN(J50)-SINH(J50)*COS(J50))),COMPLEX(-H50,0))</f>
        <v>-0</v>
      </c>
      <c r="M50" s="7" t="str">
        <f aca="false">IF(B50="mass",COMPLEX(-E50/I50*(SINH(J50)*COS(J50)-COSH(J50)*SIN(J50)),-E50/I50*(SINH(J50)*COS(J50)+COSH(J50)*SIN(J50))),COMPLEX(0,0))</f>
        <v>0</v>
      </c>
      <c r="N50" s="7" t="str">
        <f aca="false">K50</f>
        <v>1</v>
      </c>
      <c r="O50" s="7" t="str">
        <f aca="false">IMSUM(IMPRODUCT(K50,O49),IMPRODUCT(L50,Q49))</f>
        <v>-73.1261783426225+31.7541238829791i</v>
      </c>
      <c r="P50" s="7" t="str">
        <f aca="false">IMSUM(IMPRODUCT(K50,P49),IMPRODUCT(L50,R49))</f>
        <v>19.6829246803833-15.7218980300158i</v>
      </c>
      <c r="Q50" s="7" t="str">
        <f aca="false">IMSUM(IMPRODUCT(M50,O49),IMPRODUCT(N50,Q49))</f>
        <v>522.038566808353+475.980735051902i</v>
      </c>
      <c r="R50" s="7" t="str">
        <f aca="false">IMSUM(IMPRODUCT(M50,P49),IMPRODUCT(N50,R49))</f>
        <v>-198.530795816927-102.089668794429i</v>
      </c>
      <c r="S50" s="10" t="n">
        <f aca="false">IF(B50="mass",D50/E50,H50)</f>
        <v>0</v>
      </c>
      <c r="T50" s="12" t="n">
        <f aca="false">IF(B50="mass",F50*G50*D50,0)</f>
        <v>0</v>
      </c>
    </row>
    <row r="51" customFormat="false" ht="15" hidden="false" customHeight="false" outlineLevel="0" collapsed="false">
      <c r="A51" s="7" t="s">
        <v>52</v>
      </c>
      <c r="B51" s="7" t="s">
        <v>42</v>
      </c>
      <c r="H51" s="10" t="n">
        <f aca="false">IF($W$39="ext",0.04,IF($W$39="room",$Y$39,0))</f>
        <v>0.04</v>
      </c>
      <c r="I51" s="11" t="n">
        <f aca="false">IF(B51="mass",SQRT(E51*($B$2*3600)/(PI()*F51*G51)),0)</f>
        <v>0</v>
      </c>
      <c r="J51" s="10" t="n">
        <f aca="false">IF(B51="mass",D51/I51,0)</f>
        <v>0</v>
      </c>
      <c r="K51" s="7" t="str">
        <f aca="false">IF(B51="mass",COMPLEX(COSH(J51)*COS(J51),SINH(J51)*SIN(J51)),COMPLEX(1,0))</f>
        <v>1</v>
      </c>
      <c r="L51" s="7" t="str">
        <f aca="false">IF(B51="mass",COMPLEX(-I51/(2*E51)*(SINH(J51)*COS(J51)+COSH(J51)*SIN(J51)),-I51/(2*E51)*(COSH(J51)*SIN(J51)-SINH(J51)*COS(J51))),COMPLEX(-H51,0))</f>
        <v>-0.04</v>
      </c>
      <c r="M51" s="7" t="str">
        <f aca="false">IF(B51="mass",COMPLEX(-E51/I51*(SINH(J51)*COS(J51)-COSH(J51)*SIN(J51)),-E51/I51*(SINH(J51)*COS(J51)+COSH(J51)*SIN(J51))),COMPLEX(0,0))</f>
        <v>0</v>
      </c>
      <c r="N51" s="7" t="str">
        <f aca="false">K51</f>
        <v>1</v>
      </c>
      <c r="O51" s="7" t="str">
        <f aca="false">IMSUM(IMPRODUCT(K51,O50),IMPRODUCT(L51,Q50))</f>
        <v>-94.0077210149566+12.714894480903i</v>
      </c>
      <c r="P51" s="7" t="str">
        <f aca="false">IMSUM(IMPRODUCT(K51,P50),IMPRODUCT(L51,R50))</f>
        <v>27.6241565130604-11.6383112782386i</v>
      </c>
      <c r="Q51" s="7" t="str">
        <f aca="false">IMSUM(IMPRODUCT(M51,O50),IMPRODUCT(N51,Q50))</f>
        <v>522.038566808353+475.980735051902i</v>
      </c>
      <c r="R51" s="7" t="str">
        <f aca="false">IMSUM(IMPRODUCT(M51,P50),IMPRODUCT(N51,R50))</f>
        <v>-198.530795816927-102.089668794429i</v>
      </c>
      <c r="S51" s="10" t="n">
        <f aca="false">IF(B51="mass",D51/E51,H51)</f>
        <v>0.04</v>
      </c>
      <c r="T51" s="12" t="n">
        <f aca="false">IF(B51="mass",F51*G51*D51,0)</f>
        <v>0</v>
      </c>
    </row>
    <row r="52" customFormat="false" ht="15" hidden="false" customHeight="false" outlineLevel="0" collapsed="false">
      <c r="A52" s="9" t="s">
        <v>53</v>
      </c>
      <c r="B52" s="13" t="n">
        <f aca="false">IF(OR($W$39="ext",$W$39="ground"),1/SUM(S41:S51),"–")</f>
        <v>0.206773861971417</v>
      </c>
      <c r="C52" s="9" t="s">
        <v>54</v>
      </c>
      <c r="D52" s="13" t="n">
        <f aca="false">IMABS(IMDIV(IMPRODUCT(O51,COMPLEX(-1,0)),P51))</f>
        <v>3.16468344649979</v>
      </c>
      <c r="E52" s="9" t="s">
        <v>55</v>
      </c>
      <c r="F52" s="14" t="n">
        <f aca="false">IMARGUMENT(IMDIV(IMPRODUCT(O51,COMPLEX(-1,0)),P51))*$B$2/(2*PI())</f>
        <v>1.00956100958001</v>
      </c>
      <c r="G52" s="9" t="s">
        <v>56</v>
      </c>
      <c r="H52" s="13" t="n">
        <f aca="false">IF($W$39="ext",IMABS(IMDIV(COMPLEX(-1,0),P51))*SUM(S41:S51),"–")</f>
        <v>0.161337235455988</v>
      </c>
      <c r="I52" s="9" t="s">
        <v>57</v>
      </c>
      <c r="J52" s="14" t="n">
        <f aca="false">IF($W$39="ext",MOD(-IMARGUMENT(IMDIV(COMPLEX(-1,0),P51))*$B$2/(2*PI()),24),"–")</f>
        <v>10.4769240250572</v>
      </c>
      <c r="K52" s="9" t="s">
        <v>58</v>
      </c>
      <c r="L52" s="15" t="n">
        <f aca="false">($B$2*3600)/(2*PI())*IMABS(IMDIV(IMSUB(O51,COMPLEX(1,0)),P51))/1000</f>
        <v>43.9721622905958</v>
      </c>
      <c r="M52" s="9" t="s">
        <v>59</v>
      </c>
      <c r="N52" s="15" t="n">
        <f aca="false">SUM(T42:T49)/1000</f>
        <v>352.105</v>
      </c>
      <c r="O52" s="9" t="s">
        <v>60</v>
      </c>
      <c r="P52" s="16" t="n">
        <f aca="false">SUM(S42:S49)</f>
        <v>4.66620120292687</v>
      </c>
    </row>
    <row r="54" customFormat="false" ht="15" hidden="false" customHeight="false" outlineLevel="0" collapsed="false">
      <c r="A54" s="4" t="s">
        <v>77</v>
      </c>
    </row>
    <row r="55" customFormat="false" ht="15" hidden="false" customHeight="false" outlineLevel="0" collapsed="false">
      <c r="A55" s="9"/>
      <c r="B55" s="9" t="s">
        <v>62</v>
      </c>
      <c r="C55" s="9" t="s">
        <v>63</v>
      </c>
      <c r="D55" s="9"/>
      <c r="E55" s="9"/>
      <c r="F55" s="9"/>
      <c r="G55" s="9"/>
      <c r="H55" s="9"/>
      <c r="I55" s="9"/>
      <c r="J55" s="9"/>
      <c r="K55" s="9" t="s">
        <v>32</v>
      </c>
      <c r="L55" s="9" t="s">
        <v>33</v>
      </c>
      <c r="M55" s="9" t="s">
        <v>34</v>
      </c>
      <c r="N55" s="9" t="s">
        <v>35</v>
      </c>
      <c r="O55" s="9" t="s">
        <v>36</v>
      </c>
      <c r="P55" s="9" t="s">
        <v>37</v>
      </c>
      <c r="Q55" s="9" t="s">
        <v>38</v>
      </c>
      <c r="R55" s="9" t="s">
        <v>39</v>
      </c>
    </row>
    <row r="56" customFormat="false" ht="15" hidden="false" customHeight="false" outlineLevel="0" collapsed="false">
      <c r="A56" s="7" t="s">
        <v>22</v>
      </c>
      <c r="B56" s="7" t="s">
        <v>42</v>
      </c>
      <c r="C56" s="10" t="n">
        <f aca="false">$Y$39</f>
        <v>0.13</v>
      </c>
      <c r="K56" s="7" t="str">
        <f aca="false">COMPLEX(1,0)</f>
        <v>1</v>
      </c>
      <c r="L56" s="7" t="str">
        <f aca="false">COMPLEX(-C56,0)</f>
        <v>-0.13</v>
      </c>
      <c r="M56" s="7" t="str">
        <f aca="false">COMPLEX(0,0)</f>
        <v>0</v>
      </c>
      <c r="N56" s="7" t="str">
        <f aca="false">COMPLEX(1,0)</f>
        <v>1</v>
      </c>
      <c r="O56" s="7" t="str">
        <f aca="false">K56</f>
        <v>1</v>
      </c>
      <c r="P56" s="7" t="str">
        <f aca="false">L56</f>
        <v>-0.13</v>
      </c>
      <c r="Q56" s="7" t="str">
        <f aca="false">M56</f>
        <v>0</v>
      </c>
      <c r="R56" s="7" t="str">
        <f aca="false">N56</f>
        <v>1</v>
      </c>
    </row>
    <row r="57" customFormat="false" ht="15" hidden="false" customHeight="false" outlineLevel="0" collapsed="false">
      <c r="A57" s="7" t="s">
        <v>64</v>
      </c>
      <c r="B57" s="7" t="s">
        <v>65</v>
      </c>
      <c r="C57" s="10" t="n">
        <f aca="false">INDEX(Classes!$B$5:$F$9,MATCH(Engine!$C$38,Classes!$A$5:$A$9,0),5)*(N52*1000)</f>
        <v>176052.5</v>
      </c>
      <c r="K57" s="7" t="str">
        <f aca="false">COMPLEX(1,0)</f>
        <v>1</v>
      </c>
      <c r="L57" s="7" t="str">
        <f aca="false">COMPLEX(0,0)</f>
        <v>0</v>
      </c>
      <c r="M57" s="7" t="str">
        <f aca="false">COMPLEX(0,-(2*PI()/($B$2*3600))*C57)</f>
        <v>-12.8028990890305i</v>
      </c>
      <c r="N57" s="7" t="str">
        <f aca="false">COMPLEX(1,0)</f>
        <v>1</v>
      </c>
      <c r="O57" s="7" t="str">
        <f aca="false">IMSUM(IMPRODUCT(K57,O56),IMPRODUCT(L57,Q56))</f>
        <v>1</v>
      </c>
      <c r="P57" s="7" t="str">
        <f aca="false">IMSUM(IMPRODUCT(K57,P56),IMPRODUCT(L57,R56))</f>
        <v>-0.13</v>
      </c>
      <c r="Q57" s="7" t="str">
        <f aca="false">IMSUM(IMPRODUCT(M57,O56),IMPRODUCT(N57,Q56))</f>
        <v>-12.8028990890305i</v>
      </c>
      <c r="R57" s="7" t="str">
        <f aca="false">IMSUM(IMPRODUCT(M57,P56),IMPRODUCT(N57,R56))</f>
        <v>1+1.66437688157397i</v>
      </c>
    </row>
    <row r="58" customFormat="false" ht="15" hidden="false" customHeight="false" outlineLevel="0" collapsed="false">
      <c r="A58" s="7" t="s">
        <v>66</v>
      </c>
      <c r="B58" s="7" t="s">
        <v>42</v>
      </c>
      <c r="C58" s="10" t="n">
        <f aca="false">P52/6</f>
        <v>0.777700200487811</v>
      </c>
      <c r="K58" s="7" t="str">
        <f aca="false">COMPLEX(1,0)</f>
        <v>1</v>
      </c>
      <c r="L58" s="7" t="str">
        <f aca="false">COMPLEX(-C58,0)</f>
        <v>-0.777700200487811</v>
      </c>
      <c r="M58" s="7" t="str">
        <f aca="false">COMPLEX(0,0)</f>
        <v>0</v>
      </c>
      <c r="N58" s="7" t="str">
        <f aca="false">COMPLEX(1,0)</f>
        <v>1</v>
      </c>
      <c r="O58" s="7" t="str">
        <f aca="false">IMSUM(IMPRODUCT(K58,O57),IMPRODUCT(L58,Q57))</f>
        <v>1+9.95681718836423i</v>
      </c>
      <c r="P58" s="7" t="str">
        <f aca="false">IMSUM(IMPRODUCT(K58,P57),IMPRODUCT(L58,R57))</f>
        <v>-0.907700200487811-1.29438623448735i</v>
      </c>
      <c r="Q58" s="7" t="str">
        <f aca="false">IMSUM(IMPRODUCT(M58,O57),IMPRODUCT(N58,Q57))</f>
        <v>-12.8028990890305i</v>
      </c>
      <c r="R58" s="7" t="str">
        <f aca="false">IMSUM(IMPRODUCT(M58,P57),IMPRODUCT(N58,R57))</f>
        <v>1+1.66437688157397i</v>
      </c>
    </row>
    <row r="59" customFormat="false" ht="15" hidden="false" customHeight="false" outlineLevel="0" collapsed="false">
      <c r="A59" s="7" t="s">
        <v>67</v>
      </c>
      <c r="B59" s="7" t="s">
        <v>65</v>
      </c>
      <c r="C59" s="10" t="n">
        <f aca="false">INDEX(Classes!$B$5:$F$9,MATCH(Engine!$C$38,Classes!$A$5:$A$9,0),4)*(N52*1000)</f>
        <v>0</v>
      </c>
      <c r="K59" s="7" t="str">
        <f aca="false">COMPLEX(1,0)</f>
        <v>1</v>
      </c>
      <c r="L59" s="7" t="str">
        <f aca="false">COMPLEX(0,0)</f>
        <v>0</v>
      </c>
      <c r="M59" s="7" t="str">
        <f aca="false">COMPLEX(0,-(2*PI()/($B$2*3600))*C59)</f>
        <v>0</v>
      </c>
      <c r="N59" s="7" t="str">
        <f aca="false">COMPLEX(1,0)</f>
        <v>1</v>
      </c>
      <c r="O59" s="7" t="str">
        <f aca="false">IMSUM(IMPRODUCT(K59,O58),IMPRODUCT(L59,Q58))</f>
        <v>1+9.95681718836423i</v>
      </c>
      <c r="P59" s="7" t="str">
        <f aca="false">IMSUM(IMPRODUCT(K59,P58),IMPRODUCT(L59,R58))</f>
        <v>-0.907700200487811-1.29438623448735i</v>
      </c>
      <c r="Q59" s="7" t="str">
        <f aca="false">IMSUM(IMPRODUCT(M59,O58),IMPRODUCT(N59,Q58))</f>
        <v>-12.8028990890305i</v>
      </c>
      <c r="R59" s="7" t="str">
        <f aca="false">IMSUM(IMPRODUCT(M59,P58),IMPRODUCT(N59,R58))</f>
        <v>1+1.66437688157397i</v>
      </c>
    </row>
    <row r="60" customFormat="false" ht="15" hidden="false" customHeight="false" outlineLevel="0" collapsed="false">
      <c r="A60" s="7" t="s">
        <v>68</v>
      </c>
      <c r="B60" s="7" t="s">
        <v>42</v>
      </c>
      <c r="C60" s="10" t="n">
        <f aca="false">P52/3</f>
        <v>1.55540040097562</v>
      </c>
      <c r="K60" s="7" t="str">
        <f aca="false">COMPLEX(1,0)</f>
        <v>1</v>
      </c>
      <c r="L60" s="7" t="str">
        <f aca="false">COMPLEX(-C60,0)</f>
        <v>-1.55540040097562</v>
      </c>
      <c r="M60" s="7" t="str">
        <f aca="false">COMPLEX(0,0)</f>
        <v>0</v>
      </c>
      <c r="N60" s="7" t="str">
        <f aca="false">COMPLEX(1,0)</f>
        <v>1</v>
      </c>
      <c r="O60" s="7" t="str">
        <f aca="false">IMSUM(IMPRODUCT(K60,O59),IMPRODUCT(L60,Q59))</f>
        <v>1+29.8704515650926i</v>
      </c>
      <c r="P60" s="7" t="str">
        <f aca="false">IMSUM(IMPRODUCT(K60,P59),IMPRODUCT(L60,R59))</f>
        <v>-2.46310060146343-3.88315870346205i</v>
      </c>
      <c r="Q60" s="7" t="str">
        <f aca="false">IMSUM(IMPRODUCT(M60,O59),IMPRODUCT(N60,Q59))</f>
        <v>-12.8028990890305i</v>
      </c>
      <c r="R60" s="7" t="str">
        <f aca="false">IMSUM(IMPRODUCT(M60,P59),IMPRODUCT(N60,R59))</f>
        <v>1+1.66437688157397i</v>
      </c>
    </row>
    <row r="61" customFormat="false" ht="15" hidden="false" customHeight="false" outlineLevel="0" collapsed="false">
      <c r="A61" s="7" t="s">
        <v>69</v>
      </c>
      <c r="B61" s="7" t="s">
        <v>65</v>
      </c>
      <c r="C61" s="10" t="n">
        <f aca="false">INDEX(Classes!$B$5:$F$9,MATCH(Engine!$C$38,Classes!$A$5:$A$9,0),3)*(N52*1000)</f>
        <v>0</v>
      </c>
      <c r="K61" s="7" t="str">
        <f aca="false">COMPLEX(1,0)</f>
        <v>1</v>
      </c>
      <c r="L61" s="7" t="str">
        <f aca="false">COMPLEX(0,0)</f>
        <v>0</v>
      </c>
      <c r="M61" s="7" t="str">
        <f aca="false">COMPLEX(0,-(2*PI()/($B$2*3600))*C61)</f>
        <v>0</v>
      </c>
      <c r="N61" s="7" t="str">
        <f aca="false">COMPLEX(1,0)</f>
        <v>1</v>
      </c>
      <c r="O61" s="7" t="str">
        <f aca="false">IMSUM(IMPRODUCT(K61,O60),IMPRODUCT(L61,Q60))</f>
        <v>1+29.8704515650926i</v>
      </c>
      <c r="P61" s="7" t="str">
        <f aca="false">IMSUM(IMPRODUCT(K61,P60),IMPRODUCT(L61,R60))</f>
        <v>-2.46310060146343-3.88315870346205i</v>
      </c>
      <c r="Q61" s="7" t="str">
        <f aca="false">IMSUM(IMPRODUCT(M61,O60),IMPRODUCT(N61,Q60))</f>
        <v>-12.8028990890305i</v>
      </c>
      <c r="R61" s="7" t="str">
        <f aca="false">IMSUM(IMPRODUCT(M61,P60),IMPRODUCT(N61,R60))</f>
        <v>1+1.66437688157397i</v>
      </c>
    </row>
    <row r="62" customFormat="false" ht="15" hidden="false" customHeight="false" outlineLevel="0" collapsed="false">
      <c r="A62" s="7" t="s">
        <v>68</v>
      </c>
      <c r="B62" s="7" t="s">
        <v>42</v>
      </c>
      <c r="C62" s="10" t="n">
        <f aca="false">P52/3</f>
        <v>1.55540040097562</v>
      </c>
      <c r="K62" s="7" t="str">
        <f aca="false">COMPLEX(1,0)</f>
        <v>1</v>
      </c>
      <c r="L62" s="7" t="str">
        <f aca="false">COMPLEX(-C62,0)</f>
        <v>-1.55540040097562</v>
      </c>
      <c r="M62" s="7" t="str">
        <f aca="false">COMPLEX(0,0)</f>
        <v>0</v>
      </c>
      <c r="N62" s="7" t="str">
        <f aca="false">COMPLEX(1,0)</f>
        <v>1</v>
      </c>
      <c r="O62" s="7" t="str">
        <f aca="false">IMSUM(IMPRODUCT(K62,O61),IMPRODUCT(L62,Q61))</f>
        <v>1+49.784085941821i</v>
      </c>
      <c r="P62" s="7" t="str">
        <f aca="false">IMSUM(IMPRODUCT(K62,P61),IMPRODUCT(L62,R61))</f>
        <v>-4.01850100243905-6.47193117243675i</v>
      </c>
      <c r="Q62" s="7" t="str">
        <f aca="false">IMSUM(IMPRODUCT(M62,O61),IMPRODUCT(N62,Q61))</f>
        <v>-12.8028990890305i</v>
      </c>
      <c r="R62" s="7" t="str">
        <f aca="false">IMSUM(IMPRODUCT(M62,P61),IMPRODUCT(N62,R61))</f>
        <v>1+1.66437688157397i</v>
      </c>
    </row>
    <row r="63" customFormat="false" ht="15" hidden="false" customHeight="false" outlineLevel="0" collapsed="false">
      <c r="A63" s="7" t="s">
        <v>70</v>
      </c>
      <c r="B63" s="7" t="s">
        <v>65</v>
      </c>
      <c r="C63" s="10" t="n">
        <f aca="false">INDEX(Classes!$B$5:$F$9,MATCH(Engine!$C$38,Classes!$A$5:$A$9,0),2)*(N52*1000)</f>
        <v>0</v>
      </c>
      <c r="K63" s="7" t="str">
        <f aca="false">COMPLEX(1,0)</f>
        <v>1</v>
      </c>
      <c r="L63" s="7" t="str">
        <f aca="false">COMPLEX(0,0)</f>
        <v>0</v>
      </c>
      <c r="M63" s="7" t="str">
        <f aca="false">COMPLEX(0,-(2*PI()/($B$2*3600))*C63)</f>
        <v>0</v>
      </c>
      <c r="N63" s="7" t="str">
        <f aca="false">COMPLEX(1,0)</f>
        <v>1</v>
      </c>
      <c r="O63" s="7" t="str">
        <f aca="false">IMSUM(IMPRODUCT(K63,O62),IMPRODUCT(L63,Q62))</f>
        <v>1+49.784085941821i</v>
      </c>
      <c r="P63" s="7" t="str">
        <f aca="false">IMSUM(IMPRODUCT(K63,P62),IMPRODUCT(L63,R62))</f>
        <v>-4.01850100243905-6.47193117243675i</v>
      </c>
      <c r="Q63" s="7" t="str">
        <f aca="false">IMSUM(IMPRODUCT(M63,O62),IMPRODUCT(N63,Q62))</f>
        <v>-12.8028990890305i</v>
      </c>
      <c r="R63" s="7" t="str">
        <f aca="false">IMSUM(IMPRODUCT(M63,P62),IMPRODUCT(N63,R62))</f>
        <v>1+1.66437688157397i</v>
      </c>
    </row>
    <row r="64" customFormat="false" ht="15" hidden="false" customHeight="false" outlineLevel="0" collapsed="false">
      <c r="A64" s="7" t="s">
        <v>66</v>
      </c>
      <c r="B64" s="7" t="s">
        <v>42</v>
      </c>
      <c r="C64" s="10" t="n">
        <f aca="false">P52/6</f>
        <v>0.777700200487811</v>
      </c>
      <c r="K64" s="7" t="str">
        <f aca="false">COMPLEX(1,0)</f>
        <v>1</v>
      </c>
      <c r="L64" s="7" t="str">
        <f aca="false">COMPLEX(-C64,0)</f>
        <v>-0.777700200487811</v>
      </c>
      <c r="M64" s="7" t="str">
        <f aca="false">COMPLEX(0,0)</f>
        <v>0</v>
      </c>
      <c r="N64" s="7" t="str">
        <f aca="false">COMPLEX(1,0)</f>
        <v>1</v>
      </c>
      <c r="O64" s="7" t="str">
        <f aca="false">IMSUM(IMPRODUCT(K64,O63),IMPRODUCT(L64,Q63))</f>
        <v>1+59.7409031301852i</v>
      </c>
      <c r="P64" s="7" t="str">
        <f aca="false">IMSUM(IMPRODUCT(K64,P63),IMPRODUCT(L64,R63))</f>
        <v>-4.79620120292686-7.7663174069241i</v>
      </c>
      <c r="Q64" s="7" t="str">
        <f aca="false">IMSUM(IMPRODUCT(M64,O63),IMPRODUCT(N64,Q63))</f>
        <v>-12.8028990890305i</v>
      </c>
      <c r="R64" s="7" t="str">
        <f aca="false">IMSUM(IMPRODUCT(M64,P63),IMPRODUCT(N64,R63))</f>
        <v>1+1.66437688157397i</v>
      </c>
    </row>
    <row r="65" customFormat="false" ht="15" hidden="false" customHeight="false" outlineLevel="0" collapsed="false">
      <c r="A65" s="7" t="s">
        <v>71</v>
      </c>
      <c r="B65" s="7" t="s">
        <v>65</v>
      </c>
      <c r="C65" s="10" t="n">
        <f aca="false">INDEX(Classes!$B$5:$F$9,MATCH(Engine!$C$38,Classes!$A$5:$A$9,0),1)*(N52*1000)</f>
        <v>176052.5</v>
      </c>
      <c r="K65" s="7" t="str">
        <f aca="false">COMPLEX(1,0)</f>
        <v>1</v>
      </c>
      <c r="L65" s="7" t="str">
        <f aca="false">COMPLEX(0,0)</f>
        <v>0</v>
      </c>
      <c r="M65" s="7" t="str">
        <f aca="false">COMPLEX(0,-(2*PI()/($B$2*3600))*C65)</f>
        <v>-12.8028990890305i</v>
      </c>
      <c r="N65" s="7" t="str">
        <f aca="false">COMPLEX(1,0)</f>
        <v>1</v>
      </c>
      <c r="O65" s="7" t="str">
        <f aca="false">IMSUM(IMPRODUCT(K65,O64),IMPRODUCT(L65,Q64))</f>
        <v>1+59.7409031301852i</v>
      </c>
      <c r="P65" s="7" t="str">
        <f aca="false">IMSUM(IMPRODUCT(K65,P64),IMPRODUCT(L65,R64))</f>
        <v>-4.79620120292686-7.7663174069241i</v>
      </c>
      <c r="Q65" s="7" t="str">
        <f aca="false">IMSUM(IMPRODUCT(M65,O64),IMPRODUCT(N65,Q64))</f>
        <v>764.856754263307-25.605798178061i</v>
      </c>
      <c r="R65" s="7" t="str">
        <f aca="false">IMSUM(IMPRODUCT(M65,P64),IMPRODUCT(N65,R64))</f>
        <v>-98.4313780542303+63.0696568933333i</v>
      </c>
    </row>
    <row r="66" customFormat="false" ht="15" hidden="false" customHeight="false" outlineLevel="0" collapsed="false">
      <c r="A66" s="7" t="s">
        <v>72</v>
      </c>
      <c r="B66" s="7" t="s">
        <v>73</v>
      </c>
      <c r="K66" s="7" t="str">
        <f aca="false">K50</f>
        <v>1</v>
      </c>
      <c r="L66" s="7" t="str">
        <f aca="false">L50</f>
        <v>-0</v>
      </c>
      <c r="M66" s="7" t="str">
        <f aca="false">M50</f>
        <v>0</v>
      </c>
      <c r="N66" s="7" t="str">
        <f aca="false">N50</f>
        <v>1</v>
      </c>
      <c r="O66" s="7" t="str">
        <f aca="false">IMSUM(IMPRODUCT(K66,O65),IMPRODUCT(L66,Q65))</f>
        <v>1+59.7409031301852i</v>
      </c>
      <c r="P66" s="7" t="str">
        <f aca="false">IMSUM(IMPRODUCT(K66,P65),IMPRODUCT(L66,R65))</f>
        <v>-4.79620120292686-7.7663174069241i</v>
      </c>
      <c r="Q66" s="7" t="str">
        <f aca="false">IMSUM(IMPRODUCT(M66,O65),IMPRODUCT(N66,Q65))</f>
        <v>764.856754263307-25.605798178061i</v>
      </c>
      <c r="R66" s="7" t="str">
        <f aca="false">IMSUM(IMPRODUCT(M66,P65),IMPRODUCT(N66,R65))</f>
        <v>-98.4313780542303+63.0696568933333i</v>
      </c>
    </row>
    <row r="67" customFormat="false" ht="15" hidden="false" customHeight="false" outlineLevel="0" collapsed="false">
      <c r="A67" s="7" t="s">
        <v>52</v>
      </c>
      <c r="B67" s="7" t="s">
        <v>73</v>
      </c>
      <c r="K67" s="7" t="str">
        <f aca="false">K51</f>
        <v>1</v>
      </c>
      <c r="L67" s="7" t="str">
        <f aca="false">L51</f>
        <v>-0.04</v>
      </c>
      <c r="M67" s="7" t="str">
        <f aca="false">M51</f>
        <v>0</v>
      </c>
      <c r="N67" s="7" t="str">
        <f aca="false">N51</f>
        <v>1</v>
      </c>
      <c r="O67" s="7" t="str">
        <f aca="false">IMSUM(IMPRODUCT(K67,O66),IMPRODUCT(L67,Q66))</f>
        <v>-29.5942701705323+60.7651350573076i</v>
      </c>
      <c r="P67" s="7" t="str">
        <f aca="false">IMSUM(IMPRODUCT(K67,P66),IMPRODUCT(L67,R66))</f>
        <v>-0.85894608075765-10.2891036826574i</v>
      </c>
      <c r="Q67" s="7" t="str">
        <f aca="false">IMSUM(IMPRODUCT(M67,O66),IMPRODUCT(N67,Q66))</f>
        <v>764.856754263307-25.605798178061i</v>
      </c>
      <c r="R67" s="7" t="str">
        <f aca="false">IMSUM(IMPRODUCT(M67,P66),IMPRODUCT(N67,R66))</f>
        <v>-98.4313780542303+63.0696568933333i</v>
      </c>
    </row>
    <row r="68" customFormat="false" ht="15" hidden="false" customHeight="false" outlineLevel="0" collapsed="false">
      <c r="A68" s="9" t="s">
        <v>74</v>
      </c>
      <c r="B68" s="13" t="n">
        <f aca="false">IMABS(IMDIV(IMPRODUCT(O67,COMPLEX(-1,0)),P67))</f>
        <v>6.54618096559316</v>
      </c>
    </row>
    <row r="71" customFormat="false" ht="15" hidden="false" customHeight="false" outlineLevel="0" collapsed="false">
      <c r="A71" s="4" t="s">
        <v>78</v>
      </c>
      <c r="B71" s="9" t="s">
        <v>18</v>
      </c>
      <c r="C71" s="7" t="str">
        <f aca="false">INDEX(Library!$F$5:$F$34,MATCH(A71,Library!$A$5:$A$34,0))</f>
        <v>IE</v>
      </c>
    </row>
    <row r="72" customFormat="false" ht="15" hidden="false" customHeight="false" outlineLevel="0" collapsed="false">
      <c r="A72" s="4" t="s">
        <v>79</v>
      </c>
      <c r="T72" s="9" t="s">
        <v>20</v>
      </c>
      <c r="U72" s="7" t="n">
        <f aca="false">MATCH($A$71,Library!$A$5:$A$34,0)</f>
        <v>3</v>
      </c>
      <c r="V72" s="9" t="s">
        <v>21</v>
      </c>
      <c r="W72" s="7" t="str">
        <f aca="false">INDEX(Library!$D$5:$D$34,$U$72)</f>
        <v>ext</v>
      </c>
      <c r="X72" s="9" t="s">
        <v>22</v>
      </c>
      <c r="Y72" s="7" t="n">
        <f aca="false">INDEX(Library!$E$5:$E$34,$U$72)</f>
        <v>0.13</v>
      </c>
    </row>
    <row r="73" customFormat="false" ht="15" hidden="false" customHeight="false" outlineLevel="0" collapsed="false">
      <c r="A73" s="9"/>
      <c r="B73" s="9" t="s">
        <v>23</v>
      </c>
      <c r="C73" s="9" t="s">
        <v>24</v>
      </c>
      <c r="D73" s="9" t="s">
        <v>25</v>
      </c>
      <c r="E73" s="9" t="s">
        <v>26</v>
      </c>
      <c r="F73" s="9" t="s">
        <v>27</v>
      </c>
      <c r="G73" s="9" t="s">
        <v>28</v>
      </c>
      <c r="H73" s="9" t="s">
        <v>29</v>
      </c>
      <c r="I73" s="9" t="s">
        <v>30</v>
      </c>
      <c r="J73" s="9" t="s">
        <v>31</v>
      </c>
      <c r="K73" s="9" t="s">
        <v>32</v>
      </c>
      <c r="L73" s="9" t="s">
        <v>33</v>
      </c>
      <c r="M73" s="9" t="s">
        <v>34</v>
      </c>
      <c r="N73" s="9" t="s">
        <v>35</v>
      </c>
      <c r="O73" s="9" t="s">
        <v>36</v>
      </c>
      <c r="P73" s="9" t="s">
        <v>37</v>
      </c>
      <c r="Q73" s="9" t="s">
        <v>38</v>
      </c>
      <c r="R73" s="9" t="s">
        <v>39</v>
      </c>
      <c r="S73" s="9" t="s">
        <v>40</v>
      </c>
      <c r="T73" s="9" t="s">
        <v>41</v>
      </c>
    </row>
    <row r="74" customFormat="false" ht="15" hidden="false" customHeight="false" outlineLevel="0" collapsed="false">
      <c r="A74" s="7" t="s">
        <v>22</v>
      </c>
      <c r="B74" s="7" t="s">
        <v>42</v>
      </c>
      <c r="H74" s="10" t="n">
        <f aca="false">$Y$72</f>
        <v>0.13</v>
      </c>
      <c r="I74" s="11" t="n">
        <f aca="false">IF(B74="mass",SQRT(E74*($B$2*3600)/(PI()*F74*G74)),0)</f>
        <v>0</v>
      </c>
      <c r="J74" s="10" t="n">
        <f aca="false">IF(B74="mass",D74/I74,0)</f>
        <v>0</v>
      </c>
      <c r="K74" s="7" t="str">
        <f aca="false">IF(B74="mass",COMPLEX(COSH(J74)*COS(J74),SINH(J74)*SIN(J74)),COMPLEX(1,0))</f>
        <v>1</v>
      </c>
      <c r="L74" s="7" t="str">
        <f aca="false">IF(B74="mass",COMPLEX(-I74/(2*E74)*(SINH(J74)*COS(J74)+COSH(J74)*SIN(J74)),-I74/(2*E74)*(COSH(J74)*SIN(J74)-SINH(J74)*COS(J74))),COMPLEX(-H74,0))</f>
        <v>-0.13</v>
      </c>
      <c r="M74" s="7" t="str">
        <f aca="false">IF(B74="mass",COMPLEX(-E74/I74*(SINH(J74)*COS(J74)-COSH(J74)*SIN(J74)),-E74/I74*(SINH(J74)*COS(J74)+COSH(J74)*SIN(J74))),COMPLEX(0,0))</f>
        <v>0</v>
      </c>
      <c r="N74" s="7" t="str">
        <f aca="false">K74</f>
        <v>1</v>
      </c>
      <c r="O74" s="7" t="str">
        <f aca="false">K74</f>
        <v>1</v>
      </c>
      <c r="P74" s="7" t="str">
        <f aca="false">L74</f>
        <v>-0.13</v>
      </c>
      <c r="Q74" s="7" t="str">
        <f aca="false">M74</f>
        <v>0</v>
      </c>
      <c r="R74" s="7" t="str">
        <f aca="false">N74</f>
        <v>1</v>
      </c>
      <c r="S74" s="10" t="n">
        <f aca="false">IF(B74="mass",D74/E74,H74)</f>
        <v>0.13</v>
      </c>
      <c r="T74" s="12" t="n">
        <f aca="false">IF(B74="mass",F74*G74*D74,0)</f>
        <v>0</v>
      </c>
    </row>
    <row r="75" customFormat="false" ht="15" hidden="false" customHeight="false" outlineLevel="0" collapsed="false">
      <c r="A75" s="7" t="s">
        <v>43</v>
      </c>
      <c r="B75" s="7" t="str">
        <f aca="false">IF(C75="","none",IF(C75="Cavity","res","mass"))</f>
        <v>mass</v>
      </c>
      <c r="C75" s="7" t="str">
        <f aca="false">IF(INDEX(Library!$G$5:$G$34,$U$72)="","",INDEX(Library!$G$5:$G$34,$U$72))</f>
        <v>gypsum plaster</v>
      </c>
      <c r="D75" s="11" t="n">
        <f aca="false">IF(B75="mass",INDEX(Library!$H$5:$H$34,$U$72)/1000,0)</f>
        <v>0.013</v>
      </c>
      <c r="E75" s="7" t="n">
        <f aca="false">IF(B75="mass",INDEX(Materials!$B$5:$B$28,MATCH(C75,Materials!$A$5:$A$28,0)),0)</f>
        <v>0.5</v>
      </c>
      <c r="F75" s="7" t="n">
        <f aca="false">IF(B75="mass",INDEX(Materials!$C$5:$C$28,MATCH(C75,Materials!$A$5:$A$28,0)),0)</f>
        <v>1300</v>
      </c>
      <c r="G75" s="7" t="n">
        <f aca="false">IF(B75="mass",INDEX(Materials!$D$5:$D$28,MATCH(C75,Materials!$A$5:$A$28,0)),0)</f>
        <v>1000</v>
      </c>
      <c r="H75" s="10" t="n">
        <f aca="false">IF(B75="res",INDEX(Library!$H$5:$H$34,$U$72),0)</f>
        <v>0</v>
      </c>
      <c r="I75" s="11" t="n">
        <f aca="false">IF(B75="mass",SQRT(E75*($B$2*3600)/(PI()*F75*G75)),0)</f>
        <v>0.102847860316323</v>
      </c>
      <c r="J75" s="10" t="n">
        <f aca="false">IF(B75="mass",D75/I75,0)</f>
        <v>0.126400296126887</v>
      </c>
      <c r="K75" s="7" t="str">
        <f aca="false">IF(B75="mass",COMPLEX(COSH(J75)*COS(J75),SINH(J75)*SIN(J75)),COMPLEX(1,0))</f>
        <v>0.999957455752033+0.0159769895455509i</v>
      </c>
      <c r="L75" s="7" t="str">
        <f aca="false">IF(B75="mass",COMPLEX(-I75/(2*E75)*(SINH(J75)*COS(J75)+COSH(J75)*SIN(J75)),-I75/(2*E75)*(COSH(J75)*SIN(J75)-SINH(J75)*COS(J75))),COMPLEX(-H75,0))</f>
        <v>-0.0259997787698508-0.00013846746714729i</v>
      </c>
      <c r="M75" s="7" t="str">
        <f aca="false">IF(B75="mass",COMPLEX(-E75/I75*(SINH(J75)*COS(J75)-COSH(J75)*SIN(J75)),-E75/I75*(SINH(J75)*COS(J75)+COSH(J75)*SIN(J75))),COMPLEX(0,0))</f>
        <v>0.00654526494000515-1.22899222421088i</v>
      </c>
      <c r="N75" s="7" t="str">
        <f aca="false">K75</f>
        <v>0.999957455752033+0.0159769895455509i</v>
      </c>
      <c r="O75" s="7" t="str">
        <f aca="false">IMSUM(IMPRODUCT(K75,O74),IMPRODUCT(L75,Q74))</f>
        <v>0.999957455752033+0.0159769895455509i</v>
      </c>
      <c r="P75" s="7" t="str">
        <f aca="false">IMSUM(IMPRODUCT(K75,P74),IMPRODUCT(L75,R74))</f>
        <v>-0.155994248017615-0.00221547610806891i</v>
      </c>
      <c r="Q75" s="7" t="str">
        <f aca="false">IMSUM(IMPRODUCT(M75,O74),IMPRODUCT(N75,Q74))</f>
        <v>0.00654526494000515-1.22899222421088i</v>
      </c>
      <c r="R75" s="7" t="str">
        <f aca="false">IMSUM(IMPRODUCT(M75,P74),IMPRODUCT(N75,R74))</f>
        <v>0.999106571309832+0.175745978692965i</v>
      </c>
      <c r="S75" s="10" t="n">
        <f aca="false">IF(B75="mass",D75/E75,H75)</f>
        <v>0.026</v>
      </c>
      <c r="T75" s="12" t="n">
        <f aca="false">IF(B75="mass",F75*G75*D75,0)</f>
        <v>16900</v>
      </c>
    </row>
    <row r="76" customFormat="false" ht="15" hidden="false" customHeight="false" outlineLevel="0" collapsed="false">
      <c r="A76" s="7" t="s">
        <v>44</v>
      </c>
      <c r="B76" s="7" t="str">
        <f aca="false">IF(C76="","none",IF(C76="Cavity","res","mass"))</f>
        <v>mass</v>
      </c>
      <c r="C76" s="7" t="str">
        <f aca="false">IF(INDEX(Library!$I$5:$I$34,$U$72)="","",INDEX(Library!$I$5:$I$34,$U$72))</f>
        <v>aerated block</v>
      </c>
      <c r="D76" s="11" t="n">
        <f aca="false">IF(B76="mass",INDEX(Library!$J$5:$J$34,$U$72)/1000,0)</f>
        <v>0.1</v>
      </c>
      <c r="E76" s="7" t="n">
        <f aca="false">IF(B76="mass",INDEX(Materials!$B$5:$B$28,MATCH(C76,Materials!$A$5:$A$28,0)),0)</f>
        <v>0.15</v>
      </c>
      <c r="F76" s="7" t="n">
        <f aca="false">IF(B76="mass",INDEX(Materials!$C$5:$C$28,MATCH(C76,Materials!$A$5:$A$28,0)),0)</f>
        <v>600</v>
      </c>
      <c r="G76" s="7" t="n">
        <f aca="false">IF(B76="mass",INDEX(Materials!$D$5:$D$28,MATCH(C76,Materials!$A$5:$A$28,0)),0)</f>
        <v>1000</v>
      </c>
      <c r="H76" s="10" t="n">
        <f aca="false">IF(B76="res",INDEX(Library!$J$5:$J$34,$U$72),0)</f>
        <v>0</v>
      </c>
      <c r="I76" s="11" t="n">
        <f aca="false">IF(B76="mass",SQRT(E76*($B$2*3600)/(PI()*F76*G76)),0)</f>
        <v>0.0829185958731205</v>
      </c>
      <c r="J76" s="10" t="n">
        <f aca="false">IF(B76="mass",D76/I76,0)</f>
        <v>1.20600209093045</v>
      </c>
      <c r="K76" s="7" t="str">
        <f aca="false">IF(B76="mass",COMPLEX(COSH(J76)*COS(J76),SINH(J76)*SIN(J76)),COMPLEX(1,0))</f>
        <v>0.649208036041375+1.42031260877983i</v>
      </c>
      <c r="L76" s="7" t="str">
        <f aca="false">IF(B76="mass",COMPLEX(-I76/(2*E76)*(SINH(J76)*COS(J76)+COSH(J76)*SIN(J76)),-I76/(2*E76)*(COSH(J76)*SIN(J76)-SINH(J76)*COS(J76))),COMPLEX(-H76,0))</f>
        <v>-0.619789278416611-0.319956806990616i</v>
      </c>
      <c r="M76" s="7" t="str">
        <f aca="false">IF(B76="mass",COMPLEX(-E76/I76*(SINH(J76)*COS(J76)-COSH(J76)*SIN(J76)),-E76/I76*(SINH(J76)*COS(J76)+COSH(J76)*SIN(J76))),COMPLEX(0,0))</f>
        <v>2.09411240480785-4.05651134134863i</v>
      </c>
      <c r="N76" s="7" t="str">
        <f aca="false">K76</f>
        <v>0.649208036041375+1.42031260877983i</v>
      </c>
      <c r="O76" s="7" t="str">
        <f aca="false">IMSUM(IMPRODUCT(K76,O75),IMPRODUCT(L76,Q75))</f>
        <v>0.229206983362798+2.19024657440491i</v>
      </c>
      <c r="P76" s="7" t="str">
        <f aca="false">IMSUM(IMPRODUCT(K76,P75),IMPRODUCT(L76,R75))</f>
        <v>-0.661130469447899-0.651595323967933i</v>
      </c>
      <c r="Q76" s="7" t="str">
        <f aca="false">IMSUM(IMPRODUCT(M76,O75),IMPRODUCT(N76,Q75))</f>
        <v>3.90863654239871-4.81145645399339i</v>
      </c>
      <c r="R76" s="7" t="str">
        <f aca="false">IMSUM(IMPRODUCT(M76,P75),IMPRODUCT(N76,R75))</f>
        <v>0.063357191664891+2.16129234268371i</v>
      </c>
      <c r="S76" s="10" t="n">
        <f aca="false">IF(B76="mass",D76/E76,H76)</f>
        <v>0.666666666666667</v>
      </c>
      <c r="T76" s="12" t="n">
        <f aca="false">IF(B76="mass",F76*G76*D76,0)</f>
        <v>60000</v>
      </c>
    </row>
    <row r="77" customFormat="false" ht="15" hidden="false" customHeight="false" outlineLevel="0" collapsed="false">
      <c r="A77" s="7" t="s">
        <v>45</v>
      </c>
      <c r="B77" s="7" t="str">
        <f aca="false">IF(C77="","none",IF(C77="Cavity","res","mass"))</f>
        <v>mass</v>
      </c>
      <c r="C77" s="7" t="str">
        <f aca="false">IF(INDEX(Library!$K$5:$K$34,$U$72)="","",INDEX(Library!$K$5:$K$34,$U$72))</f>
        <v>mineral wool</v>
      </c>
      <c r="D77" s="11" t="n">
        <f aca="false">IF(B77="mass",INDEX(Library!$L$5:$L$34,$U$72)/1000,0)</f>
        <v>0.15</v>
      </c>
      <c r="E77" s="7" t="n">
        <f aca="false">IF(B77="mass",INDEX(Materials!$B$5:$B$28,MATCH(C77,Materials!$A$5:$A$28,0)),0)</f>
        <v>0.035</v>
      </c>
      <c r="F77" s="7" t="n">
        <f aca="false">IF(B77="mass",INDEX(Materials!$C$5:$C$28,MATCH(C77,Materials!$A$5:$A$28,0)),0)</f>
        <v>30</v>
      </c>
      <c r="G77" s="7" t="n">
        <f aca="false">IF(B77="mass",INDEX(Materials!$D$5:$D$28,MATCH(C77,Materials!$A$5:$A$28,0)),0)</f>
        <v>1030</v>
      </c>
      <c r="H77" s="10" t="n">
        <f aca="false">IF(B77="res",INDEX(Library!$L$5:$L$34,$U$72),0)</f>
        <v>0</v>
      </c>
      <c r="I77" s="11" t="n">
        <f aca="false">IF(B77="mass",SQRT(E77*($B$2*3600)/(PI()*F77*G77)),0)</f>
        <v>0.176496751881128</v>
      </c>
      <c r="J77" s="10" t="n">
        <f aca="false">IF(B77="mass",D77/I77,0)</f>
        <v>0.849873997120504</v>
      </c>
      <c r="K77" s="7" t="str">
        <f aca="false">IF(B77="mass",COMPLEX(COSH(J77)*COS(J77),SINH(J77)*SIN(J77)),COMPLEX(1,0))</f>
        <v>0.913158518565511+0.718100720020173i</v>
      </c>
      <c r="L77" s="7" t="str">
        <f aca="false">IF(B77="mass",COMPLEX(-I77/(2*E77)*(SINH(J77)*COS(J77)+COSH(J77)*SIN(J77)),-I77/(2*E77)*(COSH(J77)*SIN(J77)-SINH(J77)*COS(J77))),COMPLEX(-H77,0))</f>
        <v>-4.21123759620779-1.02927418634689i</v>
      </c>
      <c r="M77" s="7" t="str">
        <f aca="false">IF(B77="mass",COMPLEX(-E77/I77*(SINH(J77)*COS(J77)-COSH(J77)*SIN(J77)),-E77/I77*(SINH(J77)*COS(J77)+COSH(J77)*SIN(J77))),COMPLEX(0,0))</f>
        <v>0.0809512819555347-0.331209202129424i</v>
      </c>
      <c r="N77" s="7" t="str">
        <f aca="false">K77</f>
        <v>0.913158518565511+0.718100720020173i</v>
      </c>
      <c r="O77" s="7" t="str">
        <f aca="false">IMSUM(IMPRODUCT(K77,O76),IMPRODUCT(L77,Q76))</f>
        <v>-22.776020416818+18.4037636316337i</v>
      </c>
      <c r="P77" s="7" t="str">
        <f aca="false">IMSUM(IMPRODUCT(K77,P76),IMPRODUCT(L77,R76))</f>
        <v>1.8219443811878-10.2366955786823i</v>
      </c>
      <c r="Q77" s="7" t="str">
        <f aca="false">IMSUM(IMPRODUCT(M77,O76),IMPRODUCT(N77,Q76))</f>
        <v>7.76829951813792-1.48543992636269i</v>
      </c>
      <c r="R77" s="7" t="str">
        <f aca="false">IMSUM(IMPRODUCT(M77,P76),IMPRODUCT(N77,R76))</f>
        <v>-1.76350415457844+2.1853243772829i</v>
      </c>
      <c r="S77" s="10" t="n">
        <f aca="false">IF(B77="mass",D77/E77,H77)</f>
        <v>4.28571428571429</v>
      </c>
      <c r="T77" s="12" t="n">
        <f aca="false">IF(B77="mass",F77*G77*D77,0)</f>
        <v>4635</v>
      </c>
    </row>
    <row r="78" customFormat="false" ht="15" hidden="false" customHeight="false" outlineLevel="0" collapsed="false">
      <c r="A78" s="7" t="s">
        <v>46</v>
      </c>
      <c r="B78" s="7" t="str">
        <f aca="false">IF(C78="","none",IF(C78="Cavity","res","mass"))</f>
        <v>mass</v>
      </c>
      <c r="C78" s="7" t="str">
        <f aca="false">IF(INDEX(Library!$M$5:$M$34,$U$72)="","",INDEX(Library!$M$5:$M$34,$U$72))</f>
        <v>brick</v>
      </c>
      <c r="D78" s="11" t="n">
        <f aca="false">IF(B78="mass",INDEX(Library!$N$5:$N$34,$U$72)/1000,0)</f>
        <v>0.102</v>
      </c>
      <c r="E78" s="7" t="n">
        <f aca="false">IF(B78="mass",INDEX(Materials!$B$5:$B$28,MATCH(C78,Materials!$A$5:$A$28,0)),0)</f>
        <v>0.77</v>
      </c>
      <c r="F78" s="7" t="n">
        <f aca="false">IF(B78="mass",INDEX(Materials!$C$5:$C$28,MATCH(C78,Materials!$A$5:$A$28,0)),0)</f>
        <v>1700</v>
      </c>
      <c r="G78" s="7" t="n">
        <f aca="false">IF(B78="mass",INDEX(Materials!$D$5:$D$28,MATCH(C78,Materials!$A$5:$A$28,0)),0)</f>
        <v>800</v>
      </c>
      <c r="H78" s="10" t="n">
        <f aca="false">IF(B78="res",INDEX(Library!$N$5:$N$34,$U$72),0)</f>
        <v>0</v>
      </c>
      <c r="I78" s="11" t="n">
        <f aca="false">IF(B78="mass",SQRT(E78*($B$2*3600)/(PI()*F78*G78)),0)</f>
        <v>0.12478369552018</v>
      </c>
      <c r="J78" s="10" t="n">
        <f aca="false">IF(B78="mass",D78/I78,0)</f>
        <v>0.81741448331689</v>
      </c>
      <c r="K78" s="7" t="str">
        <f aca="false">IF(B78="mass",COMPLEX(COSH(J78)*COS(J78),SINH(J78)*SIN(J78)),COMPLEX(1,0))</f>
        <v>0.925671349743335+0.664853161913343i</v>
      </c>
      <c r="L78" s="7" t="str">
        <f aca="false">IF(B78="mass",COMPLEX(-I78/(2*E78)*(SINH(J78)*COS(J78)+COSH(J78)*SIN(J78)),-I78/(2*E78)*(COSH(J78)*SIN(J78)-SINH(J78)*COS(J78))),COMPLEX(-H78,0))</f>
        <v>-0.130497374771535-0.0294407447988599i</v>
      </c>
      <c r="M78" s="7" t="str">
        <f aca="false">IF(B78="mass",COMPLEX(-E78/I78*(SINH(J78)*COS(J78)-COSH(J78)*SIN(J78)),-E78/I78*(SINH(J78)*COS(J78)+COSH(J78)*SIN(J78))),COMPLEX(0,0))</f>
        <v>2.24204617217389-9.93796663719564i</v>
      </c>
      <c r="N78" s="7" t="str">
        <f aca="false">K78</f>
        <v>0.925671349743335+0.664853161913343i</v>
      </c>
      <c r="O78" s="7" t="str">
        <f aca="false">IMSUM(IMPRODUCT(K78,O77),IMPRODUCT(L78,Q77))</f>
        <v>-34.3763851539572+1.85826901846392i</v>
      </c>
      <c r="P78" s="7" t="str">
        <f aca="false">IMSUM(IMPRODUCT(K78,P77),IMPRODUCT(L78,R77))</f>
        <v>8.78689137738816-8.49775054906051i</v>
      </c>
      <c r="Q78" s="7" t="str">
        <f aca="false">IMSUM(IMPRODUCT(M78,O77),IMPRODUCT(N78,Q77))</f>
        <v>140.009591309169+271.399168150046i</v>
      </c>
      <c r="R78" s="7" t="str">
        <f aca="false">IMSUM(IMPRODUCT(M78,P77),IMPRODUCT(N78,R77))</f>
        <v>-100.732400803406-40.2071457602367i</v>
      </c>
      <c r="S78" s="10" t="n">
        <f aca="false">IF(B78="mass",D78/E78,H78)</f>
        <v>0.132467532467532</v>
      </c>
      <c r="T78" s="12" t="n">
        <f aca="false">IF(B78="mass",F78*G78*D78,0)</f>
        <v>138720</v>
      </c>
    </row>
    <row r="79" customFormat="false" ht="15" hidden="false" customHeight="false" outlineLevel="0" collapsed="false">
      <c r="A79" s="7" t="s">
        <v>47</v>
      </c>
      <c r="B79" s="7" t="str">
        <f aca="false">IF(C79="","none",IF(C79="Cavity","res","mass"))</f>
        <v>none</v>
      </c>
      <c r="C79" s="7" t="str">
        <f aca="false">IF(INDEX(Library!$O$5:$O$34,$U$72)="","",INDEX(Library!$O$5:$O$34,$U$72))</f>
        <v/>
      </c>
      <c r="D79" s="11" t="n">
        <f aca="false">IF(B79="mass",INDEX(Library!$P$5:$P$34,$U$72)/1000,0)</f>
        <v>0</v>
      </c>
      <c r="E79" s="7" t="n">
        <f aca="false">IF(B79="mass",INDEX(Materials!$B$5:$B$28,MATCH(C79,Materials!$A$5:$A$28,0)),0)</f>
        <v>0</v>
      </c>
      <c r="F79" s="7" t="n">
        <f aca="false">IF(B79="mass",INDEX(Materials!$C$5:$C$28,MATCH(C79,Materials!$A$5:$A$28,0)),0)</f>
        <v>0</v>
      </c>
      <c r="G79" s="7" t="n">
        <f aca="false">IF(B79="mass",INDEX(Materials!$D$5:$D$28,MATCH(C79,Materials!$A$5:$A$28,0)),0)</f>
        <v>0</v>
      </c>
      <c r="H79" s="10" t="n">
        <f aca="false">IF(B79="res",INDEX(Library!$P$5:$P$34,$U$72),0)</f>
        <v>0</v>
      </c>
      <c r="I79" s="11" t="n">
        <f aca="false">IF(B79="mass",SQRT(E79*($B$2*3600)/(PI()*F79*G79)),0)</f>
        <v>0</v>
      </c>
      <c r="J79" s="10" t="n">
        <f aca="false">IF(B79="mass",D79/I79,0)</f>
        <v>0</v>
      </c>
      <c r="K79" s="7" t="str">
        <f aca="false">IF(B79="mass",COMPLEX(COSH(J79)*COS(J79),SINH(J79)*SIN(J79)),COMPLEX(1,0))</f>
        <v>1</v>
      </c>
      <c r="L79" s="7" t="str">
        <f aca="false">IF(B79="mass",COMPLEX(-I79/(2*E79)*(SINH(J79)*COS(J79)+COSH(J79)*SIN(J79)),-I79/(2*E79)*(COSH(J79)*SIN(J79)-SINH(J79)*COS(J79))),COMPLEX(-H79,0))</f>
        <v>-0</v>
      </c>
      <c r="M79" s="7" t="str">
        <f aca="false">IF(B79="mass",COMPLEX(-E79/I79*(SINH(J79)*COS(J79)-COSH(J79)*SIN(J79)),-E79/I79*(SINH(J79)*COS(J79)+COSH(J79)*SIN(J79))),COMPLEX(0,0))</f>
        <v>0</v>
      </c>
      <c r="N79" s="7" t="str">
        <f aca="false">K79</f>
        <v>1</v>
      </c>
      <c r="O79" s="7" t="str">
        <f aca="false">IMSUM(IMPRODUCT(K79,O78),IMPRODUCT(L79,Q78))</f>
        <v>-34.3763851539572+1.85826901846392i</v>
      </c>
      <c r="P79" s="7" t="str">
        <f aca="false">IMSUM(IMPRODUCT(K79,P78),IMPRODUCT(L79,R78))</f>
        <v>8.78689137738816-8.49775054906051i</v>
      </c>
      <c r="Q79" s="7" t="str">
        <f aca="false">IMSUM(IMPRODUCT(M79,O78),IMPRODUCT(N79,Q78))</f>
        <v>140.009591309169+271.399168150046i</v>
      </c>
      <c r="R79" s="7" t="str">
        <f aca="false">IMSUM(IMPRODUCT(M79,P78),IMPRODUCT(N79,R78))</f>
        <v>-100.732400803406-40.2071457602367i</v>
      </c>
      <c r="S79" s="10" t="n">
        <f aca="false">IF(B79="mass",D79/E79,H79)</f>
        <v>0</v>
      </c>
      <c r="T79" s="12" t="n">
        <f aca="false">IF(B79="mass",F79*G79*D79,0)</f>
        <v>0</v>
      </c>
    </row>
    <row r="80" customFormat="false" ht="15" hidden="false" customHeight="false" outlineLevel="0" collapsed="false">
      <c r="A80" s="7" t="s">
        <v>48</v>
      </c>
      <c r="B80" s="7" t="str">
        <f aca="false">IF(C80="","none",IF(C80="Cavity","res","mass"))</f>
        <v>none</v>
      </c>
      <c r="C80" s="7" t="str">
        <f aca="false">IF(INDEX(Library!$Q$5:$Q$34,$U$72)="","",INDEX(Library!$Q$5:$Q$34,$U$72))</f>
        <v/>
      </c>
      <c r="D80" s="11" t="n">
        <f aca="false">IF(B80="mass",INDEX(Library!$R$5:$R$34,$U$72)/1000,0)</f>
        <v>0</v>
      </c>
      <c r="E80" s="7" t="n">
        <f aca="false">IF(B80="mass",INDEX(Materials!$B$5:$B$28,MATCH(C80,Materials!$A$5:$A$28,0)),0)</f>
        <v>0</v>
      </c>
      <c r="F80" s="7" t="n">
        <f aca="false">IF(B80="mass",INDEX(Materials!$C$5:$C$28,MATCH(C80,Materials!$A$5:$A$28,0)),0)</f>
        <v>0</v>
      </c>
      <c r="G80" s="7" t="n">
        <f aca="false">IF(B80="mass",INDEX(Materials!$D$5:$D$28,MATCH(C80,Materials!$A$5:$A$28,0)),0)</f>
        <v>0</v>
      </c>
      <c r="H80" s="10" t="n">
        <f aca="false">IF(B80="res",INDEX(Library!$R$5:$R$34,$U$72),0)</f>
        <v>0</v>
      </c>
      <c r="I80" s="11" t="n">
        <f aca="false">IF(B80="mass",SQRT(E80*($B$2*3600)/(PI()*F80*G80)),0)</f>
        <v>0</v>
      </c>
      <c r="J80" s="10" t="n">
        <f aca="false">IF(B80="mass",D80/I80,0)</f>
        <v>0</v>
      </c>
      <c r="K80" s="7" t="str">
        <f aca="false">IF(B80="mass",COMPLEX(COSH(J80)*COS(J80),SINH(J80)*SIN(J80)),COMPLEX(1,0))</f>
        <v>1</v>
      </c>
      <c r="L80" s="7" t="str">
        <f aca="false">IF(B80="mass",COMPLEX(-I80/(2*E80)*(SINH(J80)*COS(J80)+COSH(J80)*SIN(J80)),-I80/(2*E80)*(COSH(J80)*SIN(J80)-SINH(J80)*COS(J80))),COMPLEX(-H80,0))</f>
        <v>-0</v>
      </c>
      <c r="M80" s="7" t="str">
        <f aca="false">IF(B80="mass",COMPLEX(-E80/I80*(SINH(J80)*COS(J80)-COSH(J80)*SIN(J80)),-E80/I80*(SINH(J80)*COS(J80)+COSH(J80)*SIN(J80))),COMPLEX(0,0))</f>
        <v>0</v>
      </c>
      <c r="N80" s="7" t="str">
        <f aca="false">K80</f>
        <v>1</v>
      </c>
      <c r="O80" s="7" t="str">
        <f aca="false">IMSUM(IMPRODUCT(K80,O79),IMPRODUCT(L80,Q79))</f>
        <v>-34.3763851539572+1.85826901846392i</v>
      </c>
      <c r="P80" s="7" t="str">
        <f aca="false">IMSUM(IMPRODUCT(K80,P79),IMPRODUCT(L80,R79))</f>
        <v>8.78689137738816-8.49775054906051i</v>
      </c>
      <c r="Q80" s="7" t="str">
        <f aca="false">IMSUM(IMPRODUCT(M80,O79),IMPRODUCT(N80,Q79))</f>
        <v>140.009591309169+271.399168150046i</v>
      </c>
      <c r="R80" s="7" t="str">
        <f aca="false">IMSUM(IMPRODUCT(M80,P79),IMPRODUCT(N80,R79))</f>
        <v>-100.732400803406-40.2071457602367i</v>
      </c>
      <c r="S80" s="10" t="n">
        <f aca="false">IF(B80="mass",D80/E80,H80)</f>
        <v>0</v>
      </c>
      <c r="T80" s="12" t="n">
        <f aca="false">IF(B80="mass",F80*G80*D80,0)</f>
        <v>0</v>
      </c>
    </row>
    <row r="81" customFormat="false" ht="15" hidden="false" customHeight="false" outlineLevel="0" collapsed="false">
      <c r="A81" s="7" t="s">
        <v>49</v>
      </c>
      <c r="B81" s="7" t="str">
        <f aca="false">IF(C81="","none",IF(C81="Cavity","res","mass"))</f>
        <v>none</v>
      </c>
      <c r="C81" s="7" t="str">
        <f aca="false">IF(INDEX(Library!$S$5:$S$34,$U$72)="","",INDEX(Library!$S$5:$S$34,$U$72))</f>
        <v/>
      </c>
      <c r="D81" s="11" t="n">
        <f aca="false">IF(B81="mass",INDEX(Library!$T$5:$T$34,$U$72)/1000,0)</f>
        <v>0</v>
      </c>
      <c r="E81" s="7" t="n">
        <f aca="false">IF(B81="mass",INDEX(Materials!$B$5:$B$28,MATCH(C81,Materials!$A$5:$A$28,0)),0)</f>
        <v>0</v>
      </c>
      <c r="F81" s="7" t="n">
        <f aca="false">IF(B81="mass",INDEX(Materials!$C$5:$C$28,MATCH(C81,Materials!$A$5:$A$28,0)),0)</f>
        <v>0</v>
      </c>
      <c r="G81" s="7" t="n">
        <f aca="false">IF(B81="mass",INDEX(Materials!$D$5:$D$28,MATCH(C81,Materials!$A$5:$A$28,0)),0)</f>
        <v>0</v>
      </c>
      <c r="H81" s="10" t="n">
        <f aca="false">IF(B81="res",INDEX(Library!$T$5:$T$34,$U$72),0)</f>
        <v>0</v>
      </c>
      <c r="I81" s="11" t="n">
        <f aca="false">IF(B81="mass",SQRT(E81*($B$2*3600)/(PI()*F81*G81)),0)</f>
        <v>0</v>
      </c>
      <c r="J81" s="10" t="n">
        <f aca="false">IF(B81="mass",D81/I81,0)</f>
        <v>0</v>
      </c>
      <c r="K81" s="7" t="str">
        <f aca="false">IF(B81="mass",COMPLEX(COSH(J81)*COS(J81),SINH(J81)*SIN(J81)),COMPLEX(1,0))</f>
        <v>1</v>
      </c>
      <c r="L81" s="7" t="str">
        <f aca="false">IF(B81="mass",COMPLEX(-I81/(2*E81)*(SINH(J81)*COS(J81)+COSH(J81)*SIN(J81)),-I81/(2*E81)*(COSH(J81)*SIN(J81)-SINH(J81)*COS(J81))),COMPLEX(-H81,0))</f>
        <v>-0</v>
      </c>
      <c r="M81" s="7" t="str">
        <f aca="false">IF(B81="mass",COMPLEX(-E81/I81*(SINH(J81)*COS(J81)-COSH(J81)*SIN(J81)),-E81/I81*(SINH(J81)*COS(J81)+COSH(J81)*SIN(J81))),COMPLEX(0,0))</f>
        <v>0</v>
      </c>
      <c r="N81" s="7" t="str">
        <f aca="false">K81</f>
        <v>1</v>
      </c>
      <c r="O81" s="7" t="str">
        <f aca="false">IMSUM(IMPRODUCT(K81,O80),IMPRODUCT(L81,Q80))</f>
        <v>-34.3763851539572+1.85826901846392i</v>
      </c>
      <c r="P81" s="7" t="str">
        <f aca="false">IMSUM(IMPRODUCT(K81,P80),IMPRODUCT(L81,R80))</f>
        <v>8.78689137738816-8.49775054906051i</v>
      </c>
      <c r="Q81" s="7" t="str">
        <f aca="false">IMSUM(IMPRODUCT(M81,O80),IMPRODUCT(N81,Q80))</f>
        <v>140.009591309169+271.399168150046i</v>
      </c>
      <c r="R81" s="7" t="str">
        <f aca="false">IMSUM(IMPRODUCT(M81,P80),IMPRODUCT(N81,R80))</f>
        <v>-100.732400803406-40.2071457602367i</v>
      </c>
      <c r="S81" s="10" t="n">
        <f aca="false">IF(B81="mass",D81/E81,H81)</f>
        <v>0</v>
      </c>
      <c r="T81" s="12" t="n">
        <f aca="false">IF(B81="mass",F81*G81*D81,0)</f>
        <v>0</v>
      </c>
    </row>
    <row r="82" customFormat="false" ht="15" hidden="false" customHeight="false" outlineLevel="0" collapsed="false">
      <c r="A82" s="7" t="s">
        <v>50</v>
      </c>
      <c r="B82" s="7" t="str">
        <f aca="false">IF(C82="","none",IF(C82="Cavity","res","mass"))</f>
        <v>none</v>
      </c>
      <c r="C82" s="7" t="str">
        <f aca="false">IF(INDEX(Library!$U$5:$U$34,$U$72)="","",INDEX(Library!$U$5:$U$34,$U$72))</f>
        <v/>
      </c>
      <c r="D82" s="11" t="n">
        <f aca="false">IF(B82="mass",INDEX(Library!$V$5:$V$34,$U$72)/1000,0)</f>
        <v>0</v>
      </c>
      <c r="E82" s="7" t="n">
        <f aca="false">IF(B82="mass",INDEX(Materials!$B$5:$B$28,MATCH(C82,Materials!$A$5:$A$28,0)),0)</f>
        <v>0</v>
      </c>
      <c r="F82" s="7" t="n">
        <f aca="false">IF(B82="mass",INDEX(Materials!$C$5:$C$28,MATCH(C82,Materials!$A$5:$A$28,0)),0)</f>
        <v>0</v>
      </c>
      <c r="G82" s="7" t="n">
        <f aca="false">IF(B82="mass",INDEX(Materials!$D$5:$D$28,MATCH(C82,Materials!$A$5:$A$28,0)),0)</f>
        <v>0</v>
      </c>
      <c r="H82" s="10" t="n">
        <f aca="false">IF(B82="res",INDEX(Library!$V$5:$V$34,$U$72),0)</f>
        <v>0</v>
      </c>
      <c r="I82" s="11" t="n">
        <f aca="false">IF(B82="mass",SQRT(E82*($B$2*3600)/(PI()*F82*G82)),0)</f>
        <v>0</v>
      </c>
      <c r="J82" s="10" t="n">
        <f aca="false">IF(B82="mass",D82/I82,0)</f>
        <v>0</v>
      </c>
      <c r="K82" s="7" t="str">
        <f aca="false">IF(B82="mass",COMPLEX(COSH(J82)*COS(J82),SINH(J82)*SIN(J82)),COMPLEX(1,0))</f>
        <v>1</v>
      </c>
      <c r="L82" s="7" t="str">
        <f aca="false">IF(B82="mass",COMPLEX(-I82/(2*E82)*(SINH(J82)*COS(J82)+COSH(J82)*SIN(J82)),-I82/(2*E82)*(COSH(J82)*SIN(J82)-SINH(J82)*COS(J82))),COMPLEX(-H82,0))</f>
        <v>-0</v>
      </c>
      <c r="M82" s="7" t="str">
        <f aca="false">IF(B82="mass",COMPLEX(-E82/I82*(SINH(J82)*COS(J82)-COSH(J82)*SIN(J82)),-E82/I82*(SINH(J82)*COS(J82)+COSH(J82)*SIN(J82))),COMPLEX(0,0))</f>
        <v>0</v>
      </c>
      <c r="N82" s="7" t="str">
        <f aca="false">K82</f>
        <v>1</v>
      </c>
      <c r="O82" s="7" t="str">
        <f aca="false">IMSUM(IMPRODUCT(K82,O81),IMPRODUCT(L82,Q81))</f>
        <v>-34.3763851539572+1.85826901846392i</v>
      </c>
      <c r="P82" s="7" t="str">
        <f aca="false">IMSUM(IMPRODUCT(K82,P81),IMPRODUCT(L82,R81))</f>
        <v>8.78689137738816-8.49775054906051i</v>
      </c>
      <c r="Q82" s="7" t="str">
        <f aca="false">IMSUM(IMPRODUCT(M82,O81),IMPRODUCT(N82,Q81))</f>
        <v>140.009591309169+271.399168150046i</v>
      </c>
      <c r="R82" s="7" t="str">
        <f aca="false">IMSUM(IMPRODUCT(M82,P81),IMPRODUCT(N82,R81))</f>
        <v>-100.732400803406-40.2071457602367i</v>
      </c>
      <c r="S82" s="10" t="n">
        <f aca="false">IF(B82="mass",D82/E82,H82)</f>
        <v>0</v>
      </c>
      <c r="T82" s="12" t="n">
        <f aca="false">IF(B82="mass",F82*G82*D82,0)</f>
        <v>0</v>
      </c>
    </row>
    <row r="83" customFormat="false" ht="15" hidden="false" customHeight="false" outlineLevel="0" collapsed="false">
      <c r="A83" s="7" t="s">
        <v>51</v>
      </c>
      <c r="B83" s="7" t="str">
        <f aca="false">IF($W$72="ground","mass",IF($W$72="adiabatic","res","none"))</f>
        <v>none</v>
      </c>
      <c r="C83" s="7" t="str">
        <f aca="false">IF($W$72="ground","clay soil","")</f>
        <v/>
      </c>
      <c r="D83" s="11" t="n">
        <f aca="false">IF(B83="mass",1,0)</f>
        <v>0</v>
      </c>
      <c r="E83" s="7" t="n">
        <f aca="false">IF(B83="mass",INDEX(Materials!$B$5:$B$28,MATCH(C83,Materials!$A$5:$A$28,0)),0)</f>
        <v>0</v>
      </c>
      <c r="F83" s="7" t="n">
        <f aca="false">IF(B83="mass",INDEX(Materials!$C$5:$C$28,MATCH(C83,Materials!$A$5:$A$28,0)),0)</f>
        <v>0</v>
      </c>
      <c r="G83" s="7" t="n">
        <f aca="false">IF(B83="mass",INDEX(Materials!$D$5:$D$28,MATCH(C83,Materials!$A$5:$A$28,0)),0)</f>
        <v>0</v>
      </c>
      <c r="H83" s="12" t="n">
        <f aca="false">IF(B83="res",1000000,0)</f>
        <v>0</v>
      </c>
      <c r="I83" s="11" t="n">
        <f aca="false">IF(B83="mass",SQRT(E83*($B$2*3600)/(PI()*F83*G83)),0)</f>
        <v>0</v>
      </c>
      <c r="J83" s="10" t="n">
        <f aca="false">IF(B83="mass",D83/I83,0)</f>
        <v>0</v>
      </c>
      <c r="K83" s="7" t="str">
        <f aca="false">IF(B83="mass",COMPLEX(COSH(J83)*COS(J83),SINH(J83)*SIN(J83)),COMPLEX(1,0))</f>
        <v>1</v>
      </c>
      <c r="L83" s="7" t="str">
        <f aca="false">IF(B83="mass",COMPLEX(-I83/(2*E83)*(SINH(J83)*COS(J83)+COSH(J83)*SIN(J83)),-I83/(2*E83)*(COSH(J83)*SIN(J83)-SINH(J83)*COS(J83))),COMPLEX(-H83,0))</f>
        <v>-0</v>
      </c>
      <c r="M83" s="7" t="str">
        <f aca="false">IF(B83="mass",COMPLEX(-E83/I83*(SINH(J83)*COS(J83)-COSH(J83)*SIN(J83)),-E83/I83*(SINH(J83)*COS(J83)+COSH(J83)*SIN(J83))),COMPLEX(0,0))</f>
        <v>0</v>
      </c>
      <c r="N83" s="7" t="str">
        <f aca="false">K83</f>
        <v>1</v>
      </c>
      <c r="O83" s="7" t="str">
        <f aca="false">IMSUM(IMPRODUCT(K83,O82),IMPRODUCT(L83,Q82))</f>
        <v>-34.3763851539572+1.85826901846392i</v>
      </c>
      <c r="P83" s="7" t="str">
        <f aca="false">IMSUM(IMPRODUCT(K83,P82),IMPRODUCT(L83,R82))</f>
        <v>8.78689137738816-8.49775054906051i</v>
      </c>
      <c r="Q83" s="7" t="str">
        <f aca="false">IMSUM(IMPRODUCT(M83,O82),IMPRODUCT(N83,Q82))</f>
        <v>140.009591309169+271.399168150046i</v>
      </c>
      <c r="R83" s="7" t="str">
        <f aca="false">IMSUM(IMPRODUCT(M83,P82),IMPRODUCT(N83,R82))</f>
        <v>-100.732400803406-40.2071457602367i</v>
      </c>
      <c r="S83" s="10" t="n">
        <f aca="false">IF(B83="mass",D83/E83,H83)</f>
        <v>0</v>
      </c>
      <c r="T83" s="12" t="n">
        <f aca="false">IF(B83="mass",F83*G83*D83,0)</f>
        <v>0</v>
      </c>
    </row>
    <row r="84" customFormat="false" ht="15" hidden="false" customHeight="false" outlineLevel="0" collapsed="false">
      <c r="A84" s="7" t="s">
        <v>52</v>
      </c>
      <c r="B84" s="7" t="s">
        <v>42</v>
      </c>
      <c r="H84" s="10" t="n">
        <f aca="false">IF($W$72="ext",0.04,IF($W$72="room",$Y$72,0))</f>
        <v>0.04</v>
      </c>
      <c r="I84" s="11" t="n">
        <f aca="false">IF(B84="mass",SQRT(E84*($B$2*3600)/(PI()*F84*G84)),0)</f>
        <v>0</v>
      </c>
      <c r="J84" s="10" t="n">
        <f aca="false">IF(B84="mass",D84/I84,0)</f>
        <v>0</v>
      </c>
      <c r="K84" s="7" t="str">
        <f aca="false">IF(B84="mass",COMPLEX(COSH(J84)*COS(J84),SINH(J84)*SIN(J84)),COMPLEX(1,0))</f>
        <v>1</v>
      </c>
      <c r="L84" s="7" t="str">
        <f aca="false">IF(B84="mass",COMPLEX(-I84/(2*E84)*(SINH(J84)*COS(J84)+COSH(J84)*SIN(J84)),-I84/(2*E84)*(COSH(J84)*SIN(J84)-SINH(J84)*COS(J84))),COMPLEX(-H84,0))</f>
        <v>-0.04</v>
      </c>
      <c r="M84" s="7" t="str">
        <f aca="false">IF(B84="mass",COMPLEX(-E84/I84*(SINH(J84)*COS(J84)-COSH(J84)*SIN(J84)),-E84/I84*(SINH(J84)*COS(J84)+COSH(J84)*SIN(J84))),COMPLEX(0,0))</f>
        <v>0</v>
      </c>
      <c r="N84" s="7" t="str">
        <f aca="false">K84</f>
        <v>1</v>
      </c>
      <c r="O84" s="7" t="str">
        <f aca="false">IMSUM(IMPRODUCT(K84,O83),IMPRODUCT(L84,Q83))</f>
        <v>-39.976768806324-8.99769770753788i</v>
      </c>
      <c r="P84" s="7" t="str">
        <f aca="false">IMSUM(IMPRODUCT(K84,P83),IMPRODUCT(L84,R83))</f>
        <v>12.8161874095244-6.88946471865104i</v>
      </c>
      <c r="Q84" s="7" t="str">
        <f aca="false">IMSUM(IMPRODUCT(M84,O83),IMPRODUCT(N84,Q83))</f>
        <v>140.009591309169+271.399168150046i</v>
      </c>
      <c r="R84" s="7" t="str">
        <f aca="false">IMSUM(IMPRODUCT(M84,P83),IMPRODUCT(N84,R83))</f>
        <v>-100.732400803406-40.2071457602367i</v>
      </c>
      <c r="S84" s="10" t="n">
        <f aca="false">IF(B84="mass",D84/E84,H84)</f>
        <v>0.04</v>
      </c>
      <c r="T84" s="12" t="n">
        <f aca="false">IF(B84="mass",F84*G84*D84,0)</f>
        <v>0</v>
      </c>
    </row>
    <row r="85" customFormat="false" ht="15" hidden="false" customHeight="false" outlineLevel="0" collapsed="false">
      <c r="A85" s="9" t="s">
        <v>53</v>
      </c>
      <c r="B85" s="13" t="n">
        <f aca="false">IF(OR($W$72="ext",$W$72="ground"),1/SUM(S74:S84),"–")</f>
        <v>0.189363509077972</v>
      </c>
      <c r="C85" s="9" t="s">
        <v>54</v>
      </c>
      <c r="D85" s="13" t="n">
        <f aca="false">IMABS(IMDIV(IMPRODUCT(O84,COMPLEX(-1,0)),P84))</f>
        <v>2.81616468949563</v>
      </c>
      <c r="E85" s="9" t="s">
        <v>55</v>
      </c>
      <c r="F85" s="14" t="n">
        <f aca="false">IMARGUMENT(IMDIV(IMPRODUCT(O84,COMPLEX(-1,0)),P84))*$B$2/(2*PI())</f>
        <v>2.72967017867607</v>
      </c>
      <c r="G85" s="9" t="s">
        <v>56</v>
      </c>
      <c r="H85" s="13" t="n">
        <f aca="false">IF($W$72="ext",IMABS(IMDIV(COMPLEX(-1,0),P84))*SUM(S74:S84),"–")</f>
        <v>0.362930441012726</v>
      </c>
      <c r="I85" s="9" t="s">
        <v>57</v>
      </c>
      <c r="J85" s="14" t="n">
        <f aca="false">IF($W$72="ext",MOD(-IMARGUMENT(IMDIV(COMPLEX(-1,0),P84))*$B$2/(2*PI()),24),"–")</f>
        <v>10.1159547040675</v>
      </c>
      <c r="K85" s="9" t="s">
        <v>58</v>
      </c>
      <c r="L85" s="15" t="n">
        <f aca="false">($B$2*3600)/(2*PI())*IMABS(IMDIV(IMSUB(O84,COMPLEX(1,0)),P84))/1000</f>
        <v>39.6475702872301</v>
      </c>
      <c r="M85" s="9" t="s">
        <v>59</v>
      </c>
      <c r="N85" s="15" t="n">
        <f aca="false">SUM(T75:T82)/1000</f>
        <v>220.255</v>
      </c>
      <c r="O85" s="9" t="s">
        <v>60</v>
      </c>
      <c r="P85" s="16" t="n">
        <f aca="false">SUM(S75:S82)</f>
        <v>5.11084848484849</v>
      </c>
    </row>
    <row r="87" customFormat="false" ht="15" hidden="false" customHeight="false" outlineLevel="0" collapsed="false">
      <c r="A87" s="4" t="s">
        <v>80</v>
      </c>
    </row>
    <row r="88" customFormat="false" ht="15" hidden="false" customHeight="false" outlineLevel="0" collapsed="false">
      <c r="A88" s="9"/>
      <c r="B88" s="9" t="s">
        <v>62</v>
      </c>
      <c r="C88" s="9" t="s">
        <v>63</v>
      </c>
      <c r="D88" s="9"/>
      <c r="E88" s="9"/>
      <c r="F88" s="9"/>
      <c r="G88" s="9"/>
      <c r="H88" s="9"/>
      <c r="I88" s="9"/>
      <c r="J88" s="9"/>
      <c r="K88" s="9" t="s">
        <v>32</v>
      </c>
      <c r="L88" s="9" t="s">
        <v>33</v>
      </c>
      <c r="M88" s="9" t="s">
        <v>34</v>
      </c>
      <c r="N88" s="9" t="s">
        <v>35</v>
      </c>
      <c r="O88" s="9" t="s">
        <v>36</v>
      </c>
      <c r="P88" s="9" t="s">
        <v>37</v>
      </c>
      <c r="Q88" s="9" t="s">
        <v>38</v>
      </c>
      <c r="R88" s="9" t="s">
        <v>39</v>
      </c>
    </row>
    <row r="89" customFormat="false" ht="15" hidden="false" customHeight="false" outlineLevel="0" collapsed="false">
      <c r="A89" s="7" t="s">
        <v>22</v>
      </c>
      <c r="B89" s="7" t="s">
        <v>42</v>
      </c>
      <c r="C89" s="10" t="n">
        <f aca="false">$Y$72</f>
        <v>0.13</v>
      </c>
      <c r="K89" s="7" t="str">
        <f aca="false">COMPLEX(1,0)</f>
        <v>1</v>
      </c>
      <c r="L89" s="7" t="str">
        <f aca="false">COMPLEX(-C89,0)</f>
        <v>-0.13</v>
      </c>
      <c r="M89" s="7" t="str">
        <f aca="false">COMPLEX(0,0)</f>
        <v>0</v>
      </c>
      <c r="N89" s="7" t="str">
        <f aca="false">COMPLEX(1,0)</f>
        <v>1</v>
      </c>
      <c r="O89" s="7" t="str">
        <f aca="false">K89</f>
        <v>1</v>
      </c>
      <c r="P89" s="7" t="str">
        <f aca="false">L89</f>
        <v>-0.13</v>
      </c>
      <c r="Q89" s="7" t="str">
        <f aca="false">M89</f>
        <v>0</v>
      </c>
      <c r="R89" s="7" t="str">
        <f aca="false">N89</f>
        <v>1</v>
      </c>
    </row>
    <row r="90" customFormat="false" ht="15" hidden="false" customHeight="false" outlineLevel="0" collapsed="false">
      <c r="A90" s="7" t="s">
        <v>64</v>
      </c>
      <c r="B90" s="7" t="s">
        <v>65</v>
      </c>
      <c r="C90" s="10" t="n">
        <f aca="false">INDEX(Classes!$B$5:$F$9,MATCH(Engine!$C$71,Classes!$A$5:$A$9,0),5)*(N85*1000)</f>
        <v>110127.5</v>
      </c>
      <c r="K90" s="7" t="str">
        <f aca="false">COMPLEX(1,0)</f>
        <v>1</v>
      </c>
      <c r="L90" s="7" t="str">
        <f aca="false">COMPLEX(0,0)</f>
        <v>0</v>
      </c>
      <c r="M90" s="7" t="str">
        <f aca="false">COMPLEX(0,-(2*PI()/($B$2*3600))*C90)</f>
        <v>-8.00869779995856i</v>
      </c>
      <c r="N90" s="7" t="str">
        <f aca="false">COMPLEX(1,0)</f>
        <v>1</v>
      </c>
      <c r="O90" s="7" t="str">
        <f aca="false">IMSUM(IMPRODUCT(K90,O89),IMPRODUCT(L90,Q89))</f>
        <v>1</v>
      </c>
      <c r="P90" s="7" t="str">
        <f aca="false">IMSUM(IMPRODUCT(K90,P89),IMPRODUCT(L90,R89))</f>
        <v>-0.13</v>
      </c>
      <c r="Q90" s="7" t="str">
        <f aca="false">IMSUM(IMPRODUCT(M90,O89),IMPRODUCT(N90,Q89))</f>
        <v>-8.00869779995856i</v>
      </c>
      <c r="R90" s="7" t="str">
        <f aca="false">IMSUM(IMPRODUCT(M90,P89),IMPRODUCT(N90,R89))</f>
        <v>1+1.04113071399461i</v>
      </c>
    </row>
    <row r="91" customFormat="false" ht="15" hidden="false" customHeight="false" outlineLevel="0" collapsed="false">
      <c r="A91" s="7" t="s">
        <v>66</v>
      </c>
      <c r="B91" s="7" t="s">
        <v>42</v>
      </c>
      <c r="C91" s="10" t="n">
        <f aca="false">P85/6</f>
        <v>0.851808080808081</v>
      </c>
      <c r="K91" s="7" t="str">
        <f aca="false">COMPLEX(1,0)</f>
        <v>1</v>
      </c>
      <c r="L91" s="7" t="str">
        <f aca="false">COMPLEX(-C91,0)</f>
        <v>-0.851808080808081</v>
      </c>
      <c r="M91" s="7" t="str">
        <f aca="false">COMPLEX(0,0)</f>
        <v>0</v>
      </c>
      <c r="N91" s="7" t="str">
        <f aca="false">COMPLEX(1,0)</f>
        <v>1</v>
      </c>
      <c r="O91" s="7" t="str">
        <f aca="false">IMSUM(IMPRODUCT(K91,O90),IMPRODUCT(L91,Q90))</f>
        <v>1+6.8218735027546i</v>
      </c>
      <c r="P91" s="7" t="str">
        <f aca="false">IMSUM(IMPRODUCT(K91,P90),IMPRODUCT(L91,R90))</f>
        <v>-0.981808080808081-0.886843555358096i</v>
      </c>
      <c r="Q91" s="7" t="str">
        <f aca="false">IMSUM(IMPRODUCT(M91,O90),IMPRODUCT(N91,Q90))</f>
        <v>-8.00869779995856i</v>
      </c>
      <c r="R91" s="7" t="str">
        <f aca="false">IMSUM(IMPRODUCT(M91,P90),IMPRODUCT(N91,R90))</f>
        <v>1+1.04113071399461i</v>
      </c>
    </row>
    <row r="92" customFormat="false" ht="15" hidden="false" customHeight="false" outlineLevel="0" collapsed="false">
      <c r="A92" s="7" t="s">
        <v>67</v>
      </c>
      <c r="B92" s="7" t="s">
        <v>65</v>
      </c>
      <c r="C92" s="10" t="n">
        <f aca="false">INDEX(Classes!$B$5:$F$9,MATCH(Engine!$C$71,Classes!$A$5:$A$9,0),4)*(N85*1000)</f>
        <v>0</v>
      </c>
      <c r="K92" s="7" t="str">
        <f aca="false">COMPLEX(1,0)</f>
        <v>1</v>
      </c>
      <c r="L92" s="7" t="str">
        <f aca="false">COMPLEX(0,0)</f>
        <v>0</v>
      </c>
      <c r="M92" s="7" t="str">
        <f aca="false">COMPLEX(0,-(2*PI()/($B$2*3600))*C92)</f>
        <v>0</v>
      </c>
      <c r="N92" s="7" t="str">
        <f aca="false">COMPLEX(1,0)</f>
        <v>1</v>
      </c>
      <c r="O92" s="7" t="str">
        <f aca="false">IMSUM(IMPRODUCT(K92,O91),IMPRODUCT(L92,Q91))</f>
        <v>1+6.8218735027546i</v>
      </c>
      <c r="P92" s="7" t="str">
        <f aca="false">IMSUM(IMPRODUCT(K92,P91),IMPRODUCT(L92,R91))</f>
        <v>-0.981808080808081-0.886843555358096i</v>
      </c>
      <c r="Q92" s="7" t="str">
        <f aca="false">IMSUM(IMPRODUCT(M92,O91),IMPRODUCT(N92,Q91))</f>
        <v>-8.00869779995856i</v>
      </c>
      <c r="R92" s="7" t="str">
        <f aca="false">IMSUM(IMPRODUCT(M92,P91),IMPRODUCT(N92,R91))</f>
        <v>1+1.04113071399461i</v>
      </c>
    </row>
    <row r="93" customFormat="false" ht="15" hidden="false" customHeight="false" outlineLevel="0" collapsed="false">
      <c r="A93" s="7" t="s">
        <v>68</v>
      </c>
      <c r="B93" s="7" t="s">
        <v>42</v>
      </c>
      <c r="C93" s="10" t="n">
        <f aca="false">P85/3</f>
        <v>1.70361616161616</v>
      </c>
      <c r="K93" s="7" t="str">
        <f aca="false">COMPLEX(1,0)</f>
        <v>1</v>
      </c>
      <c r="L93" s="7" t="str">
        <f aca="false">COMPLEX(-C93,0)</f>
        <v>-1.70361616161616</v>
      </c>
      <c r="M93" s="7" t="str">
        <f aca="false">COMPLEX(0,0)</f>
        <v>0</v>
      </c>
      <c r="N93" s="7" t="str">
        <f aca="false">COMPLEX(1,0)</f>
        <v>1</v>
      </c>
      <c r="O93" s="7" t="str">
        <f aca="false">IMSUM(IMPRODUCT(K93,O92),IMPRODUCT(L93,Q92))</f>
        <v>1+20.4656205082638i</v>
      </c>
      <c r="P93" s="7" t="str">
        <f aca="false">IMSUM(IMPRODUCT(K93,P92),IMPRODUCT(L93,R92))</f>
        <v>-2.68542424242424-2.66053066607429i</v>
      </c>
      <c r="Q93" s="7" t="str">
        <f aca="false">IMSUM(IMPRODUCT(M93,O92),IMPRODUCT(N93,Q92))</f>
        <v>-8.00869779995856i</v>
      </c>
      <c r="R93" s="7" t="str">
        <f aca="false">IMSUM(IMPRODUCT(M93,P92),IMPRODUCT(N93,R92))</f>
        <v>1+1.04113071399461i</v>
      </c>
    </row>
    <row r="94" customFormat="false" ht="15" hidden="false" customHeight="false" outlineLevel="0" collapsed="false">
      <c r="A94" s="7" t="s">
        <v>69</v>
      </c>
      <c r="B94" s="7" t="s">
        <v>65</v>
      </c>
      <c r="C94" s="10" t="n">
        <f aca="false">INDEX(Classes!$B$5:$F$9,MATCH(Engine!$C$71,Classes!$A$5:$A$9,0),3)*(N85*1000)</f>
        <v>0</v>
      </c>
      <c r="K94" s="7" t="str">
        <f aca="false">COMPLEX(1,0)</f>
        <v>1</v>
      </c>
      <c r="L94" s="7" t="str">
        <f aca="false">COMPLEX(0,0)</f>
        <v>0</v>
      </c>
      <c r="M94" s="7" t="str">
        <f aca="false">COMPLEX(0,-(2*PI()/($B$2*3600))*C94)</f>
        <v>0</v>
      </c>
      <c r="N94" s="7" t="str">
        <f aca="false">COMPLEX(1,0)</f>
        <v>1</v>
      </c>
      <c r="O94" s="7" t="str">
        <f aca="false">IMSUM(IMPRODUCT(K94,O93),IMPRODUCT(L94,Q93))</f>
        <v>1+20.4656205082638i</v>
      </c>
      <c r="P94" s="7" t="str">
        <f aca="false">IMSUM(IMPRODUCT(K94,P93),IMPRODUCT(L94,R93))</f>
        <v>-2.68542424242424-2.66053066607429i</v>
      </c>
      <c r="Q94" s="7" t="str">
        <f aca="false">IMSUM(IMPRODUCT(M94,O93),IMPRODUCT(N94,Q93))</f>
        <v>-8.00869779995856i</v>
      </c>
      <c r="R94" s="7" t="str">
        <f aca="false">IMSUM(IMPRODUCT(M94,P93),IMPRODUCT(N94,R93))</f>
        <v>1+1.04113071399461i</v>
      </c>
    </row>
    <row r="95" customFormat="false" ht="15" hidden="false" customHeight="false" outlineLevel="0" collapsed="false">
      <c r="A95" s="7" t="s">
        <v>68</v>
      </c>
      <c r="B95" s="7" t="s">
        <v>42</v>
      </c>
      <c r="C95" s="10" t="n">
        <f aca="false">P85/3</f>
        <v>1.70361616161616</v>
      </c>
      <c r="K95" s="7" t="str">
        <f aca="false">COMPLEX(1,0)</f>
        <v>1</v>
      </c>
      <c r="L95" s="7" t="str">
        <f aca="false">COMPLEX(-C95,0)</f>
        <v>-1.70361616161616</v>
      </c>
      <c r="M95" s="7" t="str">
        <f aca="false">COMPLEX(0,0)</f>
        <v>0</v>
      </c>
      <c r="N95" s="7" t="str">
        <f aca="false">COMPLEX(1,0)</f>
        <v>1</v>
      </c>
      <c r="O95" s="7" t="str">
        <f aca="false">IMSUM(IMPRODUCT(K95,O94),IMPRODUCT(L95,Q94))</f>
        <v>1+34.109367513773i</v>
      </c>
      <c r="P95" s="7" t="str">
        <f aca="false">IMSUM(IMPRODUCT(K95,P94),IMPRODUCT(L95,R94))</f>
        <v>-4.3890404040404-4.43421777679048i</v>
      </c>
      <c r="Q95" s="7" t="str">
        <f aca="false">IMSUM(IMPRODUCT(M95,O94),IMPRODUCT(N95,Q94))</f>
        <v>-8.00869779995856i</v>
      </c>
      <c r="R95" s="7" t="str">
        <f aca="false">IMSUM(IMPRODUCT(M95,P94),IMPRODUCT(N95,R94))</f>
        <v>1+1.04113071399461i</v>
      </c>
    </row>
    <row r="96" customFormat="false" ht="15" hidden="false" customHeight="false" outlineLevel="0" collapsed="false">
      <c r="A96" s="7" t="s">
        <v>70</v>
      </c>
      <c r="B96" s="7" t="s">
        <v>65</v>
      </c>
      <c r="C96" s="10" t="n">
        <f aca="false">INDEX(Classes!$B$5:$F$9,MATCH(Engine!$C$71,Classes!$A$5:$A$9,0),2)*(N85*1000)</f>
        <v>0</v>
      </c>
      <c r="K96" s="7" t="str">
        <f aca="false">COMPLEX(1,0)</f>
        <v>1</v>
      </c>
      <c r="L96" s="7" t="str">
        <f aca="false">COMPLEX(0,0)</f>
        <v>0</v>
      </c>
      <c r="M96" s="7" t="str">
        <f aca="false">COMPLEX(0,-(2*PI()/($B$2*3600))*C96)</f>
        <v>0</v>
      </c>
      <c r="N96" s="7" t="str">
        <f aca="false">COMPLEX(1,0)</f>
        <v>1</v>
      </c>
      <c r="O96" s="7" t="str">
        <f aca="false">IMSUM(IMPRODUCT(K96,O95),IMPRODUCT(L96,Q95))</f>
        <v>1+34.109367513773i</v>
      </c>
      <c r="P96" s="7" t="str">
        <f aca="false">IMSUM(IMPRODUCT(K96,P95),IMPRODUCT(L96,R95))</f>
        <v>-4.3890404040404-4.43421777679048i</v>
      </c>
      <c r="Q96" s="7" t="str">
        <f aca="false">IMSUM(IMPRODUCT(M96,O95),IMPRODUCT(N96,Q95))</f>
        <v>-8.00869779995856i</v>
      </c>
      <c r="R96" s="7" t="str">
        <f aca="false">IMSUM(IMPRODUCT(M96,P95),IMPRODUCT(N96,R95))</f>
        <v>1+1.04113071399461i</v>
      </c>
    </row>
    <row r="97" customFormat="false" ht="15" hidden="false" customHeight="false" outlineLevel="0" collapsed="false">
      <c r="A97" s="7" t="s">
        <v>66</v>
      </c>
      <c r="B97" s="7" t="s">
        <v>42</v>
      </c>
      <c r="C97" s="10" t="n">
        <f aca="false">P85/6</f>
        <v>0.851808080808081</v>
      </c>
      <c r="K97" s="7" t="str">
        <f aca="false">COMPLEX(1,0)</f>
        <v>1</v>
      </c>
      <c r="L97" s="7" t="str">
        <f aca="false">COMPLEX(-C97,0)</f>
        <v>-0.851808080808081</v>
      </c>
      <c r="M97" s="7" t="str">
        <f aca="false">COMPLEX(0,0)</f>
        <v>0</v>
      </c>
      <c r="N97" s="7" t="str">
        <f aca="false">COMPLEX(1,0)</f>
        <v>1</v>
      </c>
      <c r="O97" s="7" t="str">
        <f aca="false">IMSUM(IMPRODUCT(K97,O96),IMPRODUCT(L97,Q96))</f>
        <v>1+40.9312410165276i</v>
      </c>
      <c r="P97" s="7" t="str">
        <f aca="false">IMSUM(IMPRODUCT(K97,P96),IMPRODUCT(L97,R96))</f>
        <v>-5.24084848484848-5.32106133214858i</v>
      </c>
      <c r="Q97" s="7" t="str">
        <f aca="false">IMSUM(IMPRODUCT(M97,O96),IMPRODUCT(N97,Q96))</f>
        <v>-8.00869779995856i</v>
      </c>
      <c r="R97" s="7" t="str">
        <f aca="false">IMSUM(IMPRODUCT(M97,P96),IMPRODUCT(N97,R96))</f>
        <v>1+1.04113071399461i</v>
      </c>
    </row>
    <row r="98" customFormat="false" ht="15" hidden="false" customHeight="false" outlineLevel="0" collapsed="false">
      <c r="A98" s="7" t="s">
        <v>71</v>
      </c>
      <c r="B98" s="7" t="s">
        <v>65</v>
      </c>
      <c r="C98" s="10" t="n">
        <f aca="false">INDEX(Classes!$B$5:$F$9,MATCH(Engine!$C$71,Classes!$A$5:$A$9,0),1)*(N85*1000)</f>
        <v>110127.5</v>
      </c>
      <c r="K98" s="7" t="str">
        <f aca="false">COMPLEX(1,0)</f>
        <v>1</v>
      </c>
      <c r="L98" s="7" t="str">
        <f aca="false">COMPLEX(0,0)</f>
        <v>0</v>
      </c>
      <c r="M98" s="7" t="str">
        <f aca="false">COMPLEX(0,-(2*PI()/($B$2*3600))*C98)</f>
        <v>-8.00869779995856i</v>
      </c>
      <c r="N98" s="7" t="str">
        <f aca="false">COMPLEX(1,0)</f>
        <v>1</v>
      </c>
      <c r="O98" s="7" t="str">
        <f aca="false">IMSUM(IMPRODUCT(K98,O97),IMPRODUCT(L98,Q97))</f>
        <v>1+40.9312410165276i</v>
      </c>
      <c r="P98" s="7" t="str">
        <f aca="false">IMSUM(IMPRODUCT(K98,P97),IMPRODUCT(L98,R97))</f>
        <v>-5.24084848484848-5.32106133214858i</v>
      </c>
      <c r="Q98" s="7" t="str">
        <f aca="false">IMSUM(IMPRODUCT(M98,O97),IMPRODUCT(N98,Q97))</f>
        <v>327.805939878638-16.0173955999171i</v>
      </c>
      <c r="R98" s="7" t="str">
        <f aca="false">IMSUM(IMPRODUCT(M98,P97),IMPRODUCT(N98,R97))</f>
        <v>-41.6147721842229+43.0135024445168i</v>
      </c>
    </row>
    <row r="99" customFormat="false" ht="15" hidden="false" customHeight="false" outlineLevel="0" collapsed="false">
      <c r="A99" s="7" t="s">
        <v>72</v>
      </c>
      <c r="B99" s="7" t="s">
        <v>73</v>
      </c>
      <c r="K99" s="7" t="str">
        <f aca="false">K83</f>
        <v>1</v>
      </c>
      <c r="L99" s="7" t="str">
        <f aca="false">L83</f>
        <v>-0</v>
      </c>
      <c r="M99" s="7" t="str">
        <f aca="false">M83</f>
        <v>0</v>
      </c>
      <c r="N99" s="7" t="str">
        <f aca="false">N83</f>
        <v>1</v>
      </c>
      <c r="O99" s="7" t="str">
        <f aca="false">IMSUM(IMPRODUCT(K99,O98),IMPRODUCT(L99,Q98))</f>
        <v>1+40.9312410165276i</v>
      </c>
      <c r="P99" s="7" t="str">
        <f aca="false">IMSUM(IMPRODUCT(K99,P98),IMPRODUCT(L99,R98))</f>
        <v>-5.24084848484848-5.32106133214858i</v>
      </c>
      <c r="Q99" s="7" t="str">
        <f aca="false">IMSUM(IMPRODUCT(M99,O98),IMPRODUCT(N99,Q98))</f>
        <v>327.805939878638-16.0173955999171i</v>
      </c>
      <c r="R99" s="7" t="str">
        <f aca="false">IMSUM(IMPRODUCT(M99,P98),IMPRODUCT(N99,R98))</f>
        <v>-41.6147721842229+43.0135024445168i</v>
      </c>
    </row>
    <row r="100" customFormat="false" ht="15" hidden="false" customHeight="false" outlineLevel="0" collapsed="false">
      <c r="A100" s="7" t="s">
        <v>52</v>
      </c>
      <c r="B100" s="7" t="s">
        <v>73</v>
      </c>
      <c r="K100" s="7" t="str">
        <f aca="false">K84</f>
        <v>1</v>
      </c>
      <c r="L100" s="7" t="str">
        <f aca="false">L84</f>
        <v>-0.04</v>
      </c>
      <c r="M100" s="7" t="str">
        <f aca="false">M84</f>
        <v>0</v>
      </c>
      <c r="N100" s="7" t="str">
        <f aca="false">N84</f>
        <v>1</v>
      </c>
      <c r="O100" s="7" t="str">
        <f aca="false">IMSUM(IMPRODUCT(K100,O99),IMPRODUCT(L100,Q99))</f>
        <v>-12.1122375951455+41.5719368405243i</v>
      </c>
      <c r="P100" s="7" t="str">
        <f aca="false">IMSUM(IMPRODUCT(K100,P99),IMPRODUCT(L100,R99))</f>
        <v>-3.57625759747956-7.04160142992925i</v>
      </c>
      <c r="Q100" s="7" t="str">
        <f aca="false">IMSUM(IMPRODUCT(M100,O99),IMPRODUCT(N100,Q99))</f>
        <v>327.805939878638-16.0173955999171i</v>
      </c>
      <c r="R100" s="7" t="str">
        <f aca="false">IMSUM(IMPRODUCT(M100,P99),IMPRODUCT(N100,R99))</f>
        <v>-41.6147721842229+43.0135024445168i</v>
      </c>
    </row>
    <row r="101" customFormat="false" ht="15" hidden="false" customHeight="false" outlineLevel="0" collapsed="false">
      <c r="A101" s="9" t="s">
        <v>74</v>
      </c>
      <c r="B101" s="13" t="n">
        <f aca="false">IMABS(IMDIV(IMPRODUCT(O100,COMPLEX(-1,0)),P100))</f>
        <v>5.48266604630281</v>
      </c>
    </row>
    <row r="104" customFormat="false" ht="15" hidden="false" customHeight="false" outlineLevel="0" collapsed="false">
      <c r="A104" s="4" t="s">
        <v>81</v>
      </c>
      <c r="B104" s="9" t="s">
        <v>18</v>
      </c>
      <c r="C104" s="7" t="str">
        <f aca="false">INDEX(Library!$F$5:$F$34,MATCH(A104,Library!$A$5:$A$34,0))</f>
        <v>IE</v>
      </c>
    </row>
    <row r="105" customFormat="false" ht="15" hidden="false" customHeight="false" outlineLevel="0" collapsed="false">
      <c r="A105" s="4" t="s">
        <v>82</v>
      </c>
      <c r="T105" s="9" t="s">
        <v>20</v>
      </c>
      <c r="U105" s="7" t="n">
        <f aca="false">MATCH($A$104,Library!$A$5:$A$34,0)</f>
        <v>4</v>
      </c>
      <c r="V105" s="9" t="s">
        <v>21</v>
      </c>
      <c r="W105" s="7" t="str">
        <f aca="false">INDEX(Library!$D$5:$D$34,$U$105)</f>
        <v>ext</v>
      </c>
      <c r="X105" s="9" t="s">
        <v>22</v>
      </c>
      <c r="Y105" s="7" t="n">
        <f aca="false">INDEX(Library!$E$5:$E$34,$U$105)</f>
        <v>0.13</v>
      </c>
    </row>
    <row r="106" customFormat="false" ht="15" hidden="false" customHeight="false" outlineLevel="0" collapsed="false">
      <c r="A106" s="9"/>
      <c r="B106" s="9" t="s">
        <v>23</v>
      </c>
      <c r="C106" s="9" t="s">
        <v>24</v>
      </c>
      <c r="D106" s="9" t="s">
        <v>25</v>
      </c>
      <c r="E106" s="9" t="s">
        <v>26</v>
      </c>
      <c r="F106" s="9" t="s">
        <v>27</v>
      </c>
      <c r="G106" s="9" t="s">
        <v>28</v>
      </c>
      <c r="H106" s="9" t="s">
        <v>29</v>
      </c>
      <c r="I106" s="9" t="s">
        <v>30</v>
      </c>
      <c r="J106" s="9" t="s">
        <v>31</v>
      </c>
      <c r="K106" s="9" t="s">
        <v>32</v>
      </c>
      <c r="L106" s="9" t="s">
        <v>33</v>
      </c>
      <c r="M106" s="9" t="s">
        <v>34</v>
      </c>
      <c r="N106" s="9" t="s">
        <v>35</v>
      </c>
      <c r="O106" s="9" t="s">
        <v>36</v>
      </c>
      <c r="P106" s="9" t="s">
        <v>37</v>
      </c>
      <c r="Q106" s="9" t="s">
        <v>38</v>
      </c>
      <c r="R106" s="9" t="s">
        <v>39</v>
      </c>
      <c r="S106" s="9" t="s">
        <v>40</v>
      </c>
      <c r="T106" s="9" t="s">
        <v>41</v>
      </c>
    </row>
    <row r="107" customFormat="false" ht="15" hidden="false" customHeight="false" outlineLevel="0" collapsed="false">
      <c r="A107" s="7" t="s">
        <v>22</v>
      </c>
      <c r="B107" s="7" t="s">
        <v>42</v>
      </c>
      <c r="H107" s="10" t="n">
        <f aca="false">$Y$105</f>
        <v>0.13</v>
      </c>
      <c r="I107" s="11" t="n">
        <f aca="false">IF(B107="mass",SQRT(E107*($B$2*3600)/(PI()*F107*G107)),0)</f>
        <v>0</v>
      </c>
      <c r="J107" s="10" t="n">
        <f aca="false">IF(B107="mass",D107/I107,0)</f>
        <v>0</v>
      </c>
      <c r="K107" s="7" t="str">
        <f aca="false">IF(B107="mass",COMPLEX(COSH(J107)*COS(J107),SINH(J107)*SIN(J107)),COMPLEX(1,0))</f>
        <v>1</v>
      </c>
      <c r="L107" s="7" t="str">
        <f aca="false">IF(B107="mass",COMPLEX(-I107/(2*E107)*(SINH(J107)*COS(J107)+COSH(J107)*SIN(J107)),-I107/(2*E107)*(COSH(J107)*SIN(J107)-SINH(J107)*COS(J107))),COMPLEX(-H107,0))</f>
        <v>-0.13</v>
      </c>
      <c r="M107" s="7" t="str">
        <f aca="false">IF(B107="mass",COMPLEX(-E107/I107*(SINH(J107)*COS(J107)-COSH(J107)*SIN(J107)),-E107/I107*(SINH(J107)*COS(J107)+COSH(J107)*SIN(J107))),COMPLEX(0,0))</f>
        <v>0</v>
      </c>
      <c r="N107" s="7" t="str">
        <f aca="false">K107</f>
        <v>1</v>
      </c>
      <c r="O107" s="7" t="str">
        <f aca="false">K107</f>
        <v>1</v>
      </c>
      <c r="P107" s="7" t="str">
        <f aca="false">L107</f>
        <v>-0.13</v>
      </c>
      <c r="Q107" s="7" t="str">
        <f aca="false">M107</f>
        <v>0</v>
      </c>
      <c r="R107" s="7" t="str">
        <f aca="false">N107</f>
        <v>1</v>
      </c>
      <c r="S107" s="10" t="n">
        <f aca="false">IF(B107="mass",D107/E107,H107)</f>
        <v>0.13</v>
      </c>
      <c r="T107" s="12" t="n">
        <f aca="false">IF(B107="mass",F107*G107*D107,0)</f>
        <v>0</v>
      </c>
    </row>
    <row r="108" customFormat="false" ht="15" hidden="false" customHeight="false" outlineLevel="0" collapsed="false">
      <c r="A108" s="7" t="s">
        <v>43</v>
      </c>
      <c r="B108" s="7" t="str">
        <f aca="false">IF(C108="","none",IF(C108="Cavity","res","mass"))</f>
        <v>mass</v>
      </c>
      <c r="C108" s="7" t="str">
        <f aca="false">IF(INDEX(Library!$G$5:$G$34,$U$105)="","",INDEX(Library!$G$5:$G$34,$U$105))</f>
        <v>plasterboard</v>
      </c>
      <c r="D108" s="11" t="n">
        <f aca="false">IF(B108="mass",INDEX(Library!$H$5:$H$34,$U$105)/1000,0)</f>
        <v>0.0125</v>
      </c>
      <c r="E108" s="7" t="n">
        <f aca="false">IF(B108="mass",INDEX(Materials!$B$5:$B$28,MATCH(C108,Materials!$A$5:$A$28,0)),0)</f>
        <v>0.21</v>
      </c>
      <c r="F108" s="7" t="n">
        <f aca="false">IF(B108="mass",INDEX(Materials!$C$5:$C$28,MATCH(C108,Materials!$A$5:$A$28,0)),0)</f>
        <v>700</v>
      </c>
      <c r="G108" s="7" t="n">
        <f aca="false">IF(B108="mass",INDEX(Materials!$D$5:$D$28,MATCH(C108,Materials!$A$5:$A$28,0)),0)</f>
        <v>1000</v>
      </c>
      <c r="H108" s="10" t="n">
        <f aca="false">IF(B108="res",INDEX(Library!$H$5:$H$34,$U$105),0)</f>
        <v>0</v>
      </c>
      <c r="I108" s="11" t="n">
        <f aca="false">IF(B108="mass",SQRT(E108*($B$2*3600)/(PI()*F108*G108)),0)</f>
        <v>0.0908327707927258</v>
      </c>
      <c r="J108" s="10" t="n">
        <f aca="false">IF(B108="mass",D108/I108,0)</f>
        <v>0.137615531166875</v>
      </c>
      <c r="K108" s="7" t="str">
        <f aca="false">IF(B108="mass",COMPLEX(COSH(J108)*COS(J108),SINH(J108)*SIN(J108)),COMPLEX(1,0))</f>
        <v>0.999940225193105+0.0189379589504749i</v>
      </c>
      <c r="L108" s="7" t="str">
        <f aca="false">IF(B108="mass",COMPLEX(-I108/(2*E108)*(SINH(J108)*COS(J108)+COSH(J108)*SIN(J108)),-I108/(2*E108)*(COSH(J108)*SIN(J108)-SINH(J108)*COS(J108))),COMPLEX(-H108,0))</f>
        <v>-0.0595230979186955-0.000375754009423939i</v>
      </c>
      <c r="M108" s="7" t="str">
        <f aca="false">IF(B108="mass",COMPLEX(-E108/I108*(SINH(J108)*COS(J108)-COSH(J108)*SIN(J108)),-E108/I108*(SINH(J108)*COS(J108)+COSH(J108)*SIN(J108))),COMPLEX(0,0))</f>
        <v>0.00401686359323574-0.636310349296785i</v>
      </c>
      <c r="N108" s="7" t="str">
        <f aca="false">K108</f>
        <v>0.999940225193105+0.0189379589504749i</v>
      </c>
      <c r="O108" s="7" t="str">
        <f aca="false">IMSUM(IMPRODUCT(K108,O107),IMPRODUCT(L108,Q107))</f>
        <v>0.999940225193105+0.0189379589504749i</v>
      </c>
      <c r="P108" s="7" t="str">
        <f aca="false">IMSUM(IMPRODUCT(K108,P107),IMPRODUCT(L108,R107))</f>
        <v>-0.1895153271938-0.00283768867298567i</v>
      </c>
      <c r="Q108" s="7" t="str">
        <f aca="false">IMSUM(IMPRODUCT(M108,O107),IMPRODUCT(N108,Q107))</f>
        <v>0.00401686359323574-0.636310349296785i</v>
      </c>
      <c r="R108" s="7" t="str">
        <f aca="false">IMSUM(IMPRODUCT(M108,P107),IMPRODUCT(N108,R107))</f>
        <v>0.999418032925984+0.101658304359057i</v>
      </c>
      <c r="S108" s="10" t="n">
        <f aca="false">IF(B108="mass",D108/E108,H108)</f>
        <v>0.0595238095238095</v>
      </c>
      <c r="T108" s="12" t="n">
        <f aca="false">IF(B108="mass",F108*G108*D108,0)</f>
        <v>8750</v>
      </c>
    </row>
    <row r="109" customFormat="false" ht="15" hidden="false" customHeight="false" outlineLevel="0" collapsed="false">
      <c r="A109" s="7" t="s">
        <v>44</v>
      </c>
      <c r="B109" s="7" t="str">
        <f aca="false">IF(C109="","none",IF(C109="Cavity","res","mass"))</f>
        <v>res</v>
      </c>
      <c r="C109" s="7" t="str">
        <f aca="false">IF(INDEX(Library!$I$5:$I$34,$U$105)="","",INDEX(Library!$I$5:$I$34,$U$105))</f>
        <v>Cavity</v>
      </c>
      <c r="D109" s="11" t="n">
        <f aca="false">IF(B109="mass",INDEX(Library!$J$5:$J$34,$U$105)/1000,0)</f>
        <v>0</v>
      </c>
      <c r="E109" s="7" t="n">
        <f aca="false">IF(B109="mass",INDEX(Materials!$B$5:$B$28,MATCH(C109,Materials!$A$5:$A$28,0)),0)</f>
        <v>0</v>
      </c>
      <c r="F109" s="7" t="n">
        <f aca="false">IF(B109="mass",INDEX(Materials!$C$5:$C$28,MATCH(C109,Materials!$A$5:$A$28,0)),0)</f>
        <v>0</v>
      </c>
      <c r="G109" s="7" t="n">
        <f aca="false">IF(B109="mass",INDEX(Materials!$D$5:$D$28,MATCH(C109,Materials!$A$5:$A$28,0)),0)</f>
        <v>0</v>
      </c>
      <c r="H109" s="10" t="n">
        <f aca="false">IF(B109="res",INDEX(Library!$J$5:$J$34,$U$105),0)</f>
        <v>0.1</v>
      </c>
      <c r="I109" s="11" t="n">
        <f aca="false">IF(B109="mass",SQRT(E109*($B$2*3600)/(PI()*F109*G109)),0)</f>
        <v>0</v>
      </c>
      <c r="J109" s="10" t="n">
        <f aca="false">IF(B109="mass",D109/I109,0)</f>
        <v>0</v>
      </c>
      <c r="K109" s="7" t="str">
        <f aca="false">IF(B109="mass",COMPLEX(COSH(J109)*COS(J109),SINH(J109)*SIN(J109)),COMPLEX(1,0))</f>
        <v>1</v>
      </c>
      <c r="L109" s="7" t="str">
        <f aca="false">IF(B109="mass",COMPLEX(-I109/(2*E109)*(SINH(J109)*COS(J109)+COSH(J109)*SIN(J109)),-I109/(2*E109)*(COSH(J109)*SIN(J109)-SINH(J109)*COS(J109))),COMPLEX(-H109,0))</f>
        <v>-0.1</v>
      </c>
      <c r="M109" s="7" t="str">
        <f aca="false">IF(B109="mass",COMPLEX(-E109/I109*(SINH(J109)*COS(J109)-COSH(J109)*SIN(J109)),-E109/I109*(SINH(J109)*COS(J109)+COSH(J109)*SIN(J109))),COMPLEX(0,0))</f>
        <v>0</v>
      </c>
      <c r="N109" s="7" t="str">
        <f aca="false">K109</f>
        <v>1</v>
      </c>
      <c r="O109" s="7" t="str">
        <f aca="false">IMSUM(IMPRODUCT(K109,O108),IMPRODUCT(L109,Q108))</f>
        <v>0.999538538833782+0.0825689938801534i</v>
      </c>
      <c r="P109" s="7" t="str">
        <f aca="false">IMSUM(IMPRODUCT(K109,P108),IMPRODUCT(L109,R108))</f>
        <v>-0.289457130486398-0.0130035191088914i</v>
      </c>
      <c r="Q109" s="7" t="str">
        <f aca="false">IMSUM(IMPRODUCT(M109,O108),IMPRODUCT(N109,Q108))</f>
        <v>0.00401686359323574-0.636310349296785i</v>
      </c>
      <c r="R109" s="7" t="str">
        <f aca="false">IMSUM(IMPRODUCT(M109,P108),IMPRODUCT(N109,R108))</f>
        <v>0.999418032925984+0.101658304359057i</v>
      </c>
      <c r="S109" s="10" t="n">
        <f aca="false">IF(B109="mass",D109/E109,H109)</f>
        <v>0.1</v>
      </c>
      <c r="T109" s="12" t="n">
        <f aca="false">IF(B109="mass",F109*G109*D109,0)</f>
        <v>0</v>
      </c>
    </row>
    <row r="110" customFormat="false" ht="15" hidden="false" customHeight="false" outlineLevel="0" collapsed="false">
      <c r="A110" s="7" t="s">
        <v>45</v>
      </c>
      <c r="B110" s="7" t="str">
        <f aca="false">IF(C110="","none",IF(C110="Cavity","res","mass"))</f>
        <v>mass</v>
      </c>
      <c r="C110" s="7" t="str">
        <f aca="false">IF(INDEX(Library!$K$5:$K$34,$U$105)="","",INDEX(Library!$K$5:$K$34,$U$105))</f>
        <v>aerated block</v>
      </c>
      <c r="D110" s="11" t="n">
        <f aca="false">IF(B110="mass",INDEX(Library!$L$5:$L$34,$U$105)/1000,0)</f>
        <v>0.1</v>
      </c>
      <c r="E110" s="7" t="n">
        <f aca="false">IF(B110="mass",INDEX(Materials!$B$5:$B$28,MATCH(C110,Materials!$A$5:$A$28,0)),0)</f>
        <v>0.15</v>
      </c>
      <c r="F110" s="7" t="n">
        <f aca="false">IF(B110="mass",INDEX(Materials!$C$5:$C$28,MATCH(C110,Materials!$A$5:$A$28,0)),0)</f>
        <v>600</v>
      </c>
      <c r="G110" s="7" t="n">
        <f aca="false">IF(B110="mass",INDEX(Materials!$D$5:$D$28,MATCH(C110,Materials!$A$5:$A$28,0)),0)</f>
        <v>1000</v>
      </c>
      <c r="H110" s="10" t="n">
        <f aca="false">IF(B110="res",INDEX(Library!$L$5:$L$34,$U$105),0)</f>
        <v>0</v>
      </c>
      <c r="I110" s="11" t="n">
        <f aca="false">IF(B110="mass",SQRT(E110*($B$2*3600)/(PI()*F110*G110)),0)</f>
        <v>0.0829185958731205</v>
      </c>
      <c r="J110" s="10" t="n">
        <f aca="false">IF(B110="mass",D110/I110,0)</f>
        <v>1.20600209093045</v>
      </c>
      <c r="K110" s="7" t="str">
        <f aca="false">IF(B110="mass",COMPLEX(COSH(J110)*COS(J110),SINH(J110)*SIN(J110)),COMPLEX(1,0))</f>
        <v>0.649208036041375+1.42031260877983i</v>
      </c>
      <c r="L110" s="7" t="str">
        <f aca="false">IF(B110="mass",COMPLEX(-I110/(2*E110)*(SINH(J110)*COS(J110)+COSH(J110)*SIN(J110)),-I110/(2*E110)*(COSH(J110)*SIN(J110)-SINH(J110)*COS(J110))),COMPLEX(-H110,0))</f>
        <v>-0.619789278416611-0.319956806990616i</v>
      </c>
      <c r="M110" s="7" t="str">
        <f aca="false">IF(B110="mass",COMPLEX(-E110/I110*(SINH(J110)*COS(J110)-COSH(J110)*SIN(J110)),-E110/I110*(SINH(J110)*COS(J110)+COSH(J110)*SIN(J110))),COMPLEX(0,0))</f>
        <v>2.09411240480785-4.05651134134863i</v>
      </c>
      <c r="N110" s="7" t="str">
        <f aca="false">K110</f>
        <v>0.649208036041375+1.42031260877983i</v>
      </c>
      <c r="O110" s="7" t="str">
        <f aca="false">IMSUM(IMPRODUCT(K110,O109),IMPRODUCT(L110,Q109))</f>
        <v>0.325553232037667+1.86635475341211i</v>
      </c>
      <c r="P110" s="7" t="str">
        <f aca="false">IMSUM(IMPRODUCT(K110,P109),IMPRODUCT(L110,R109))</f>
        <v>-0.756351148049319-0.802338931000965i</v>
      </c>
      <c r="Q110" s="7" t="str">
        <f aca="false">IMSUM(IMPRODUCT(M110,O109),IMPRODUCT(N110,Q109))</f>
        <v>3.33445550570165-4.28912325472789i</v>
      </c>
      <c r="R110" s="7" t="str">
        <f aca="false">IMSUM(IMPRODUCT(M110,P109),IMPRODUCT(N110,R109))</f>
        <v>-0.154461043482446+2.63243872370717i</v>
      </c>
      <c r="S110" s="10" t="n">
        <f aca="false">IF(B110="mass",D110/E110,H110)</f>
        <v>0.666666666666667</v>
      </c>
      <c r="T110" s="12" t="n">
        <f aca="false">IF(B110="mass",F110*G110*D110,0)</f>
        <v>60000</v>
      </c>
    </row>
    <row r="111" customFormat="false" ht="15" hidden="false" customHeight="false" outlineLevel="0" collapsed="false">
      <c r="A111" s="7" t="s">
        <v>46</v>
      </c>
      <c r="B111" s="7" t="str">
        <f aca="false">IF(C111="","none",IF(C111="Cavity","res","mass"))</f>
        <v>mass</v>
      </c>
      <c r="C111" s="7" t="str">
        <f aca="false">IF(INDEX(Library!$M$5:$M$34,$U$105)="","",INDEX(Library!$M$5:$M$34,$U$105))</f>
        <v>mineral wool</v>
      </c>
      <c r="D111" s="11" t="n">
        <f aca="false">IF(B111="mass",INDEX(Library!$N$5:$N$34,$U$105)/1000,0)</f>
        <v>0.15</v>
      </c>
      <c r="E111" s="7" t="n">
        <f aca="false">IF(B111="mass",INDEX(Materials!$B$5:$B$28,MATCH(C111,Materials!$A$5:$A$28,0)),0)</f>
        <v>0.035</v>
      </c>
      <c r="F111" s="7" t="n">
        <f aca="false">IF(B111="mass",INDEX(Materials!$C$5:$C$28,MATCH(C111,Materials!$A$5:$A$28,0)),0)</f>
        <v>30</v>
      </c>
      <c r="G111" s="7" t="n">
        <f aca="false">IF(B111="mass",INDEX(Materials!$D$5:$D$28,MATCH(C111,Materials!$A$5:$A$28,0)),0)</f>
        <v>1030</v>
      </c>
      <c r="H111" s="10" t="n">
        <f aca="false">IF(B111="res",INDEX(Library!$N$5:$N$34,$U$105),0)</f>
        <v>0</v>
      </c>
      <c r="I111" s="11" t="n">
        <f aca="false">IF(B111="mass",SQRT(E111*($B$2*3600)/(PI()*F111*G111)),0)</f>
        <v>0.176496751881128</v>
      </c>
      <c r="J111" s="10" t="n">
        <f aca="false">IF(B111="mass",D111/I111,0)</f>
        <v>0.849873997120504</v>
      </c>
      <c r="K111" s="7" t="str">
        <f aca="false">IF(B111="mass",COMPLEX(COSH(J111)*COS(J111),SINH(J111)*SIN(J111)),COMPLEX(1,0))</f>
        <v>0.913158518565511+0.718100720020173i</v>
      </c>
      <c r="L111" s="7" t="str">
        <f aca="false">IF(B111="mass",COMPLEX(-I111/(2*E111)*(SINH(J111)*COS(J111)+COSH(J111)*SIN(J111)),-I111/(2*E111)*(COSH(J111)*SIN(J111)-SINH(J111)*COS(J111))),COMPLEX(-H111,0))</f>
        <v>-4.21123759620779-1.02927418634689i</v>
      </c>
      <c r="M111" s="7" t="str">
        <f aca="false">IF(B111="mass",COMPLEX(-E111/I111*(SINH(J111)*COS(J111)-COSH(J111)*SIN(J111)),-E111/I111*(SINH(J111)*COS(J111)+COSH(J111)*SIN(J111))),COMPLEX(0,0))</f>
        <v>0.0809512819555347-0.331209202129424i</v>
      </c>
      <c r="N111" s="7" t="str">
        <f aca="false">K111</f>
        <v>0.913158518565511+0.718100720020173i</v>
      </c>
      <c r="O111" s="7" t="str">
        <f aca="false">IMSUM(IMPRODUCT(K111,O110),IMPRODUCT(L111,Q110))</f>
        <v>-19.499817221801+16.5685058796129i</v>
      </c>
      <c r="P111" s="7" t="str">
        <f aca="false">IMSUM(IMPRODUCT(K111,P110),IMPRODUCT(L111,R110))</f>
        <v>3.24546504909848-12.2026410917588i</v>
      </c>
      <c r="Q111" s="7" t="str">
        <f aca="false">IMSUM(IMPRODUCT(M111,O110),IMPRODUCT(N111,Q110))</f>
        <v>6.7694167675308-1.47891695407395i</v>
      </c>
      <c r="R111" s="7" t="str">
        <f aca="false">IMSUM(IMPRODUCT(M111,P110),IMPRODUCT(N111,R110))</f>
        <v>-2.35837319276296+2.47847535386284i</v>
      </c>
      <c r="S111" s="10" t="n">
        <f aca="false">IF(B111="mass",D111/E111,H111)</f>
        <v>4.28571428571429</v>
      </c>
      <c r="T111" s="12" t="n">
        <f aca="false">IF(B111="mass",F111*G111*D111,0)</f>
        <v>4635</v>
      </c>
    </row>
    <row r="112" customFormat="false" ht="15" hidden="false" customHeight="false" outlineLevel="0" collapsed="false">
      <c r="A112" s="7" t="s">
        <v>47</v>
      </c>
      <c r="B112" s="7" t="str">
        <f aca="false">IF(C112="","none",IF(C112="Cavity","res","mass"))</f>
        <v>mass</v>
      </c>
      <c r="C112" s="7" t="str">
        <f aca="false">IF(INDEX(Library!$O$5:$O$34,$U$105)="","",INDEX(Library!$O$5:$O$34,$U$105))</f>
        <v>brick</v>
      </c>
      <c r="D112" s="11" t="n">
        <f aca="false">IF(B112="mass",INDEX(Library!$P$5:$P$34,$U$105)/1000,0)</f>
        <v>0.102</v>
      </c>
      <c r="E112" s="7" t="n">
        <f aca="false">IF(B112="mass",INDEX(Materials!$B$5:$B$28,MATCH(C112,Materials!$A$5:$A$28,0)),0)</f>
        <v>0.77</v>
      </c>
      <c r="F112" s="7" t="n">
        <f aca="false">IF(B112="mass",INDEX(Materials!$C$5:$C$28,MATCH(C112,Materials!$A$5:$A$28,0)),0)</f>
        <v>1700</v>
      </c>
      <c r="G112" s="7" t="n">
        <f aca="false">IF(B112="mass",INDEX(Materials!$D$5:$D$28,MATCH(C112,Materials!$A$5:$A$28,0)),0)</f>
        <v>800</v>
      </c>
      <c r="H112" s="10" t="n">
        <f aca="false">IF(B112="res",INDEX(Library!$P$5:$P$34,$U$105),0)</f>
        <v>0</v>
      </c>
      <c r="I112" s="11" t="n">
        <f aca="false">IF(B112="mass",SQRT(E112*($B$2*3600)/(PI()*F112*G112)),0)</f>
        <v>0.12478369552018</v>
      </c>
      <c r="J112" s="10" t="n">
        <f aca="false">IF(B112="mass",D112/I112,0)</f>
        <v>0.81741448331689</v>
      </c>
      <c r="K112" s="7" t="str">
        <f aca="false">IF(B112="mass",COMPLEX(COSH(J112)*COS(J112),SINH(J112)*SIN(J112)),COMPLEX(1,0))</f>
        <v>0.925671349743335+0.664853161913343i</v>
      </c>
      <c r="L112" s="7" t="str">
        <f aca="false">IF(B112="mass",COMPLEX(-I112/(2*E112)*(SINH(J112)*COS(J112)+COSH(J112)*SIN(J112)),-I112/(2*E112)*(COSH(J112)*SIN(J112)-SINH(J112)*COS(J112))),COMPLEX(-H112,0))</f>
        <v>-0.130497374771535-0.0294407447988599i</v>
      </c>
      <c r="M112" s="7" t="str">
        <f aca="false">IF(B112="mass",COMPLEX(-E112/I112*(SINH(J112)*COS(J112)-COSH(J112)*SIN(J112)),-E112/I112*(SINH(J112)*COS(J112)+COSH(J112)*SIN(J112))),COMPLEX(0,0))</f>
        <v>2.24204617217389-9.93796663719564i</v>
      </c>
      <c r="N112" s="7" t="str">
        <f aca="false">K112</f>
        <v>0.925671349743335+0.664853161913343i</v>
      </c>
      <c r="O112" s="7" t="str">
        <f aca="false">IMSUM(IMPRODUCT(K112,O111),IMPRODUCT(L112,Q111))</f>
        <v>-29.9929771832141+2.36617417268677i</v>
      </c>
      <c r="P112" s="7" t="str">
        <f aca="false">IMSUM(IMPRODUCT(K112,P111),IMPRODUCT(L112,R111))</f>
        <v>11.4979281968638-9.39187981387592i</v>
      </c>
      <c r="Q112" s="7" t="str">
        <f aca="false">IMSUM(IMPRODUCT(M112,O111),IMPRODUCT(N112,Q111))</f>
        <v>128.187285868842+234.067565256864i</v>
      </c>
      <c r="R112" s="7" t="str">
        <f aca="false">IMSUM(IMPRODUCT(M112,P111),IMPRODUCT(N112,R111))</f>
        <v>-117.823858237599-58.8859263783791i</v>
      </c>
      <c r="S112" s="10" t="n">
        <f aca="false">IF(B112="mass",D112/E112,H112)</f>
        <v>0.132467532467532</v>
      </c>
      <c r="T112" s="12" t="n">
        <f aca="false">IF(B112="mass",F112*G112*D112,0)</f>
        <v>138720</v>
      </c>
    </row>
    <row r="113" customFormat="false" ht="15" hidden="false" customHeight="false" outlineLevel="0" collapsed="false">
      <c r="A113" s="7" t="s">
        <v>48</v>
      </c>
      <c r="B113" s="7" t="str">
        <f aca="false">IF(C113="","none",IF(C113="Cavity","res","mass"))</f>
        <v>none</v>
      </c>
      <c r="C113" s="7" t="str">
        <f aca="false">IF(INDEX(Library!$Q$5:$Q$34,$U$105)="","",INDEX(Library!$Q$5:$Q$34,$U$105))</f>
        <v/>
      </c>
      <c r="D113" s="11" t="n">
        <f aca="false">IF(B113="mass",INDEX(Library!$R$5:$R$34,$U$105)/1000,0)</f>
        <v>0</v>
      </c>
      <c r="E113" s="7" t="n">
        <f aca="false">IF(B113="mass",INDEX(Materials!$B$5:$B$28,MATCH(C113,Materials!$A$5:$A$28,0)),0)</f>
        <v>0</v>
      </c>
      <c r="F113" s="7" t="n">
        <f aca="false">IF(B113="mass",INDEX(Materials!$C$5:$C$28,MATCH(C113,Materials!$A$5:$A$28,0)),0)</f>
        <v>0</v>
      </c>
      <c r="G113" s="7" t="n">
        <f aca="false">IF(B113="mass",INDEX(Materials!$D$5:$D$28,MATCH(C113,Materials!$A$5:$A$28,0)),0)</f>
        <v>0</v>
      </c>
      <c r="H113" s="10" t="n">
        <f aca="false">IF(B113="res",INDEX(Library!$R$5:$R$34,$U$105),0)</f>
        <v>0</v>
      </c>
      <c r="I113" s="11" t="n">
        <f aca="false">IF(B113="mass",SQRT(E113*($B$2*3600)/(PI()*F113*G113)),0)</f>
        <v>0</v>
      </c>
      <c r="J113" s="10" t="n">
        <f aca="false">IF(B113="mass",D113/I113,0)</f>
        <v>0</v>
      </c>
      <c r="K113" s="7" t="str">
        <f aca="false">IF(B113="mass",COMPLEX(COSH(J113)*COS(J113),SINH(J113)*SIN(J113)),COMPLEX(1,0))</f>
        <v>1</v>
      </c>
      <c r="L113" s="7" t="str">
        <f aca="false">IF(B113="mass",COMPLEX(-I113/(2*E113)*(SINH(J113)*COS(J113)+COSH(J113)*SIN(J113)),-I113/(2*E113)*(COSH(J113)*SIN(J113)-SINH(J113)*COS(J113))),COMPLEX(-H113,0))</f>
        <v>-0</v>
      </c>
      <c r="M113" s="7" t="str">
        <f aca="false">IF(B113="mass",COMPLEX(-E113/I113*(SINH(J113)*COS(J113)-COSH(J113)*SIN(J113)),-E113/I113*(SINH(J113)*COS(J113)+COSH(J113)*SIN(J113))),COMPLEX(0,0))</f>
        <v>0</v>
      </c>
      <c r="N113" s="7" t="str">
        <f aca="false">K113</f>
        <v>1</v>
      </c>
      <c r="O113" s="7" t="str">
        <f aca="false">IMSUM(IMPRODUCT(K113,O112),IMPRODUCT(L113,Q112))</f>
        <v>-29.9929771832141+2.36617417268677i</v>
      </c>
      <c r="P113" s="7" t="str">
        <f aca="false">IMSUM(IMPRODUCT(K113,P112),IMPRODUCT(L113,R112))</f>
        <v>11.4979281968638-9.39187981387592i</v>
      </c>
      <c r="Q113" s="7" t="str">
        <f aca="false">IMSUM(IMPRODUCT(M113,O112),IMPRODUCT(N113,Q112))</f>
        <v>128.187285868842+234.067565256864i</v>
      </c>
      <c r="R113" s="7" t="str">
        <f aca="false">IMSUM(IMPRODUCT(M113,P112),IMPRODUCT(N113,R112))</f>
        <v>-117.823858237599-58.8859263783791i</v>
      </c>
      <c r="S113" s="10" t="n">
        <f aca="false">IF(B113="mass",D113/E113,H113)</f>
        <v>0</v>
      </c>
      <c r="T113" s="12" t="n">
        <f aca="false">IF(B113="mass",F113*G113*D113,0)</f>
        <v>0</v>
      </c>
    </row>
    <row r="114" customFormat="false" ht="15" hidden="false" customHeight="false" outlineLevel="0" collapsed="false">
      <c r="A114" s="7" t="s">
        <v>49</v>
      </c>
      <c r="B114" s="7" t="str">
        <f aca="false">IF(C114="","none",IF(C114="Cavity","res","mass"))</f>
        <v>none</v>
      </c>
      <c r="C114" s="7" t="str">
        <f aca="false">IF(INDEX(Library!$S$5:$S$34,$U$105)="","",INDEX(Library!$S$5:$S$34,$U$105))</f>
        <v/>
      </c>
      <c r="D114" s="11" t="n">
        <f aca="false">IF(B114="mass",INDEX(Library!$T$5:$T$34,$U$105)/1000,0)</f>
        <v>0</v>
      </c>
      <c r="E114" s="7" t="n">
        <f aca="false">IF(B114="mass",INDEX(Materials!$B$5:$B$28,MATCH(C114,Materials!$A$5:$A$28,0)),0)</f>
        <v>0</v>
      </c>
      <c r="F114" s="7" t="n">
        <f aca="false">IF(B114="mass",INDEX(Materials!$C$5:$C$28,MATCH(C114,Materials!$A$5:$A$28,0)),0)</f>
        <v>0</v>
      </c>
      <c r="G114" s="7" t="n">
        <f aca="false">IF(B114="mass",INDEX(Materials!$D$5:$D$28,MATCH(C114,Materials!$A$5:$A$28,0)),0)</f>
        <v>0</v>
      </c>
      <c r="H114" s="10" t="n">
        <f aca="false">IF(B114="res",INDEX(Library!$T$5:$T$34,$U$105),0)</f>
        <v>0</v>
      </c>
      <c r="I114" s="11" t="n">
        <f aca="false">IF(B114="mass",SQRT(E114*($B$2*3600)/(PI()*F114*G114)),0)</f>
        <v>0</v>
      </c>
      <c r="J114" s="10" t="n">
        <f aca="false">IF(B114="mass",D114/I114,0)</f>
        <v>0</v>
      </c>
      <c r="K114" s="7" t="str">
        <f aca="false">IF(B114="mass",COMPLEX(COSH(J114)*COS(J114),SINH(J114)*SIN(J114)),COMPLEX(1,0))</f>
        <v>1</v>
      </c>
      <c r="L114" s="7" t="str">
        <f aca="false">IF(B114="mass",COMPLEX(-I114/(2*E114)*(SINH(J114)*COS(J114)+COSH(J114)*SIN(J114)),-I114/(2*E114)*(COSH(J114)*SIN(J114)-SINH(J114)*COS(J114))),COMPLEX(-H114,0))</f>
        <v>-0</v>
      </c>
      <c r="M114" s="7" t="str">
        <f aca="false">IF(B114="mass",COMPLEX(-E114/I114*(SINH(J114)*COS(J114)-COSH(J114)*SIN(J114)),-E114/I114*(SINH(J114)*COS(J114)+COSH(J114)*SIN(J114))),COMPLEX(0,0))</f>
        <v>0</v>
      </c>
      <c r="N114" s="7" t="str">
        <f aca="false">K114</f>
        <v>1</v>
      </c>
      <c r="O114" s="7" t="str">
        <f aca="false">IMSUM(IMPRODUCT(K114,O113),IMPRODUCT(L114,Q113))</f>
        <v>-29.9929771832141+2.36617417268677i</v>
      </c>
      <c r="P114" s="7" t="str">
        <f aca="false">IMSUM(IMPRODUCT(K114,P113),IMPRODUCT(L114,R113))</f>
        <v>11.4979281968638-9.39187981387592i</v>
      </c>
      <c r="Q114" s="7" t="str">
        <f aca="false">IMSUM(IMPRODUCT(M114,O113),IMPRODUCT(N114,Q113))</f>
        <v>128.187285868842+234.067565256864i</v>
      </c>
      <c r="R114" s="7" t="str">
        <f aca="false">IMSUM(IMPRODUCT(M114,P113),IMPRODUCT(N114,R113))</f>
        <v>-117.823858237599-58.8859263783791i</v>
      </c>
      <c r="S114" s="10" t="n">
        <f aca="false">IF(B114="mass",D114/E114,H114)</f>
        <v>0</v>
      </c>
      <c r="T114" s="12" t="n">
        <f aca="false">IF(B114="mass",F114*G114*D114,0)</f>
        <v>0</v>
      </c>
    </row>
    <row r="115" customFormat="false" ht="15" hidden="false" customHeight="false" outlineLevel="0" collapsed="false">
      <c r="A115" s="7" t="s">
        <v>50</v>
      </c>
      <c r="B115" s="7" t="str">
        <f aca="false">IF(C115="","none",IF(C115="Cavity","res","mass"))</f>
        <v>none</v>
      </c>
      <c r="C115" s="7" t="str">
        <f aca="false">IF(INDEX(Library!$U$5:$U$34,$U$105)="","",INDEX(Library!$U$5:$U$34,$U$105))</f>
        <v/>
      </c>
      <c r="D115" s="11" t="n">
        <f aca="false">IF(B115="mass",INDEX(Library!$V$5:$V$34,$U$105)/1000,0)</f>
        <v>0</v>
      </c>
      <c r="E115" s="7" t="n">
        <f aca="false">IF(B115="mass",INDEX(Materials!$B$5:$B$28,MATCH(C115,Materials!$A$5:$A$28,0)),0)</f>
        <v>0</v>
      </c>
      <c r="F115" s="7" t="n">
        <f aca="false">IF(B115="mass",INDEX(Materials!$C$5:$C$28,MATCH(C115,Materials!$A$5:$A$28,0)),0)</f>
        <v>0</v>
      </c>
      <c r="G115" s="7" t="n">
        <f aca="false">IF(B115="mass",INDEX(Materials!$D$5:$D$28,MATCH(C115,Materials!$A$5:$A$28,0)),0)</f>
        <v>0</v>
      </c>
      <c r="H115" s="10" t="n">
        <f aca="false">IF(B115="res",INDEX(Library!$V$5:$V$34,$U$105),0)</f>
        <v>0</v>
      </c>
      <c r="I115" s="11" t="n">
        <f aca="false">IF(B115="mass",SQRT(E115*($B$2*3600)/(PI()*F115*G115)),0)</f>
        <v>0</v>
      </c>
      <c r="J115" s="10" t="n">
        <f aca="false">IF(B115="mass",D115/I115,0)</f>
        <v>0</v>
      </c>
      <c r="K115" s="7" t="str">
        <f aca="false">IF(B115="mass",COMPLEX(COSH(J115)*COS(J115),SINH(J115)*SIN(J115)),COMPLEX(1,0))</f>
        <v>1</v>
      </c>
      <c r="L115" s="7" t="str">
        <f aca="false">IF(B115="mass",COMPLEX(-I115/(2*E115)*(SINH(J115)*COS(J115)+COSH(J115)*SIN(J115)),-I115/(2*E115)*(COSH(J115)*SIN(J115)-SINH(J115)*COS(J115))),COMPLEX(-H115,0))</f>
        <v>-0</v>
      </c>
      <c r="M115" s="7" t="str">
        <f aca="false">IF(B115="mass",COMPLEX(-E115/I115*(SINH(J115)*COS(J115)-COSH(J115)*SIN(J115)),-E115/I115*(SINH(J115)*COS(J115)+COSH(J115)*SIN(J115))),COMPLEX(0,0))</f>
        <v>0</v>
      </c>
      <c r="N115" s="7" t="str">
        <f aca="false">K115</f>
        <v>1</v>
      </c>
      <c r="O115" s="7" t="str">
        <f aca="false">IMSUM(IMPRODUCT(K115,O114),IMPRODUCT(L115,Q114))</f>
        <v>-29.9929771832141+2.36617417268677i</v>
      </c>
      <c r="P115" s="7" t="str">
        <f aca="false">IMSUM(IMPRODUCT(K115,P114),IMPRODUCT(L115,R114))</f>
        <v>11.4979281968638-9.39187981387592i</v>
      </c>
      <c r="Q115" s="7" t="str">
        <f aca="false">IMSUM(IMPRODUCT(M115,O114),IMPRODUCT(N115,Q114))</f>
        <v>128.187285868842+234.067565256864i</v>
      </c>
      <c r="R115" s="7" t="str">
        <f aca="false">IMSUM(IMPRODUCT(M115,P114),IMPRODUCT(N115,R114))</f>
        <v>-117.823858237599-58.8859263783791i</v>
      </c>
      <c r="S115" s="10" t="n">
        <f aca="false">IF(B115="mass",D115/E115,H115)</f>
        <v>0</v>
      </c>
      <c r="T115" s="12" t="n">
        <f aca="false">IF(B115="mass",F115*G115*D115,0)</f>
        <v>0</v>
      </c>
    </row>
    <row r="116" customFormat="false" ht="15" hidden="false" customHeight="false" outlineLevel="0" collapsed="false">
      <c r="A116" s="7" t="s">
        <v>51</v>
      </c>
      <c r="B116" s="7" t="str">
        <f aca="false">IF($W$105="ground","mass",IF($W$105="adiabatic","res","none"))</f>
        <v>none</v>
      </c>
      <c r="C116" s="7" t="str">
        <f aca="false">IF($W$105="ground","clay soil","")</f>
        <v/>
      </c>
      <c r="D116" s="11" t="n">
        <f aca="false">IF(B116="mass",1,0)</f>
        <v>0</v>
      </c>
      <c r="E116" s="7" t="n">
        <f aca="false">IF(B116="mass",INDEX(Materials!$B$5:$B$28,MATCH(C116,Materials!$A$5:$A$28,0)),0)</f>
        <v>0</v>
      </c>
      <c r="F116" s="7" t="n">
        <f aca="false">IF(B116="mass",INDEX(Materials!$C$5:$C$28,MATCH(C116,Materials!$A$5:$A$28,0)),0)</f>
        <v>0</v>
      </c>
      <c r="G116" s="7" t="n">
        <f aca="false">IF(B116="mass",INDEX(Materials!$D$5:$D$28,MATCH(C116,Materials!$A$5:$A$28,0)),0)</f>
        <v>0</v>
      </c>
      <c r="H116" s="12" t="n">
        <f aca="false">IF(B116="res",1000000,0)</f>
        <v>0</v>
      </c>
      <c r="I116" s="11" t="n">
        <f aca="false">IF(B116="mass",SQRT(E116*($B$2*3600)/(PI()*F116*G116)),0)</f>
        <v>0</v>
      </c>
      <c r="J116" s="10" t="n">
        <f aca="false">IF(B116="mass",D116/I116,0)</f>
        <v>0</v>
      </c>
      <c r="K116" s="7" t="str">
        <f aca="false">IF(B116="mass",COMPLEX(COSH(J116)*COS(J116),SINH(J116)*SIN(J116)),COMPLEX(1,0))</f>
        <v>1</v>
      </c>
      <c r="L116" s="7" t="str">
        <f aca="false">IF(B116="mass",COMPLEX(-I116/(2*E116)*(SINH(J116)*COS(J116)+COSH(J116)*SIN(J116)),-I116/(2*E116)*(COSH(J116)*SIN(J116)-SINH(J116)*COS(J116))),COMPLEX(-H116,0))</f>
        <v>-0</v>
      </c>
      <c r="M116" s="7" t="str">
        <f aca="false">IF(B116="mass",COMPLEX(-E116/I116*(SINH(J116)*COS(J116)-COSH(J116)*SIN(J116)),-E116/I116*(SINH(J116)*COS(J116)+COSH(J116)*SIN(J116))),COMPLEX(0,0))</f>
        <v>0</v>
      </c>
      <c r="N116" s="7" t="str">
        <f aca="false">K116</f>
        <v>1</v>
      </c>
      <c r="O116" s="7" t="str">
        <f aca="false">IMSUM(IMPRODUCT(K116,O115),IMPRODUCT(L116,Q115))</f>
        <v>-29.9929771832141+2.36617417268677i</v>
      </c>
      <c r="P116" s="7" t="str">
        <f aca="false">IMSUM(IMPRODUCT(K116,P115),IMPRODUCT(L116,R115))</f>
        <v>11.4979281968638-9.39187981387592i</v>
      </c>
      <c r="Q116" s="7" t="str">
        <f aca="false">IMSUM(IMPRODUCT(M116,O115),IMPRODUCT(N116,Q115))</f>
        <v>128.187285868842+234.067565256864i</v>
      </c>
      <c r="R116" s="7" t="str">
        <f aca="false">IMSUM(IMPRODUCT(M116,P115),IMPRODUCT(N116,R115))</f>
        <v>-117.823858237599-58.8859263783791i</v>
      </c>
      <c r="S116" s="10" t="n">
        <f aca="false">IF(B116="mass",D116/E116,H116)</f>
        <v>0</v>
      </c>
      <c r="T116" s="12" t="n">
        <f aca="false">IF(B116="mass",F116*G116*D116,0)</f>
        <v>0</v>
      </c>
    </row>
    <row r="117" customFormat="false" ht="15" hidden="false" customHeight="false" outlineLevel="0" collapsed="false">
      <c r="A117" s="7" t="s">
        <v>52</v>
      </c>
      <c r="B117" s="7" t="s">
        <v>42</v>
      </c>
      <c r="H117" s="10" t="n">
        <f aca="false">IF($W$105="ext",0.04,IF($W$105="room",$Y$105,0))</f>
        <v>0.04</v>
      </c>
      <c r="I117" s="11" t="n">
        <f aca="false">IF(B117="mass",SQRT(E117*($B$2*3600)/(PI()*F117*G117)),0)</f>
        <v>0</v>
      </c>
      <c r="J117" s="10" t="n">
        <f aca="false">IF(B117="mass",D117/I117,0)</f>
        <v>0</v>
      </c>
      <c r="K117" s="7" t="str">
        <f aca="false">IF(B117="mass",COMPLEX(COSH(J117)*COS(J117),SINH(J117)*SIN(J117)),COMPLEX(1,0))</f>
        <v>1</v>
      </c>
      <c r="L117" s="7" t="str">
        <f aca="false">IF(B117="mass",COMPLEX(-I117/(2*E117)*(SINH(J117)*COS(J117)+COSH(J117)*SIN(J117)),-I117/(2*E117)*(COSH(J117)*SIN(J117)-SINH(J117)*COS(J117))),COMPLEX(-H117,0))</f>
        <v>-0.04</v>
      </c>
      <c r="M117" s="7" t="str">
        <f aca="false">IF(B117="mass",COMPLEX(-E117/I117*(SINH(J117)*COS(J117)-COSH(J117)*SIN(J117)),-E117/I117*(SINH(J117)*COS(J117)+COSH(J117)*SIN(J117))),COMPLEX(0,0))</f>
        <v>0</v>
      </c>
      <c r="N117" s="7" t="str">
        <f aca="false">K117</f>
        <v>1</v>
      </c>
      <c r="O117" s="7" t="str">
        <f aca="false">IMSUM(IMPRODUCT(K117,O116),IMPRODUCT(L117,Q116))</f>
        <v>-35.1204686179678-6.99652843758779i</v>
      </c>
      <c r="P117" s="7" t="str">
        <f aca="false">IMSUM(IMPRODUCT(K117,P116),IMPRODUCT(L117,R116))</f>
        <v>16.2108825263678-7.03644275874076i</v>
      </c>
      <c r="Q117" s="7" t="str">
        <f aca="false">IMSUM(IMPRODUCT(M117,O116),IMPRODUCT(N117,Q116))</f>
        <v>128.187285868842+234.067565256864i</v>
      </c>
      <c r="R117" s="7" t="str">
        <f aca="false">IMSUM(IMPRODUCT(M117,P116),IMPRODUCT(N117,R116))</f>
        <v>-117.823858237599-58.8859263783791i</v>
      </c>
      <c r="S117" s="10" t="n">
        <f aca="false">IF(B117="mass",D117/E117,H117)</f>
        <v>0.04</v>
      </c>
      <c r="T117" s="12" t="n">
        <f aca="false">IF(B117="mass",F117*G117*D117,0)</f>
        <v>0</v>
      </c>
    </row>
    <row r="118" customFormat="false" ht="15" hidden="false" customHeight="false" outlineLevel="0" collapsed="false">
      <c r="A118" s="9" t="s">
        <v>53</v>
      </c>
      <c r="B118" s="13" t="n">
        <f aca="false">IF(OR($W$105="ext",$W$105="ground"),1/SUM(S107:S117),"–")</f>
        <v>0.184693616476909</v>
      </c>
      <c r="C118" s="9" t="s">
        <v>54</v>
      </c>
      <c r="D118" s="13" t="n">
        <f aca="false">IMABS(IMDIV(IMPRODUCT(O117,COMPLEX(-1,0)),P117))</f>
        <v>2.02638797427224</v>
      </c>
      <c r="E118" s="9" t="s">
        <v>55</v>
      </c>
      <c r="F118" s="14" t="n">
        <f aca="false">IMARGUMENT(IMDIV(IMPRODUCT(O117,COMPLEX(-1,0)),P117))*$B$2/(2*PI())</f>
        <v>2.31535095515211</v>
      </c>
      <c r="G118" s="9" t="s">
        <v>56</v>
      </c>
      <c r="H118" s="13" t="n">
        <f aca="false">IF($W$105="ext",IMABS(IMDIV(COMPLEX(-1,0),P117))*SUM(S107:S117),"–")</f>
        <v>0.306379127595433</v>
      </c>
      <c r="I118" s="9" t="s">
        <v>57</v>
      </c>
      <c r="J118" s="14" t="n">
        <f aca="false">IF($W$105="ext",MOD(-IMARGUMENT(IMDIV(COMPLEX(-1,0),P117))*$B$2/(2*PI()),24),"–")</f>
        <v>10.4357614032658</v>
      </c>
      <c r="K118" s="9" t="s">
        <v>58</v>
      </c>
      <c r="L118" s="15" t="n">
        <f aca="false">($B$2*3600)/(2*PI())*IMABS(IMDIV(IMSUB(O117,COMPLEX(1,0)),P117))/1000</f>
        <v>28.6283600276538</v>
      </c>
      <c r="M118" s="9" t="s">
        <v>59</v>
      </c>
      <c r="N118" s="15" t="n">
        <f aca="false">SUM(T108:T115)/1000</f>
        <v>212.105</v>
      </c>
      <c r="O118" s="9" t="s">
        <v>60</v>
      </c>
      <c r="P118" s="16" t="n">
        <f aca="false">SUM(S108:S115)</f>
        <v>5.24437229437229</v>
      </c>
    </row>
    <row r="120" customFormat="false" ht="15" hidden="false" customHeight="false" outlineLevel="0" collapsed="false">
      <c r="A120" s="4" t="s">
        <v>83</v>
      </c>
    </row>
    <row r="121" customFormat="false" ht="15" hidden="false" customHeight="false" outlineLevel="0" collapsed="false">
      <c r="A121" s="9"/>
      <c r="B121" s="9" t="s">
        <v>62</v>
      </c>
      <c r="C121" s="9" t="s">
        <v>63</v>
      </c>
      <c r="D121" s="9"/>
      <c r="E121" s="9"/>
      <c r="F121" s="9"/>
      <c r="G121" s="9"/>
      <c r="H121" s="9"/>
      <c r="I121" s="9"/>
      <c r="J121" s="9"/>
      <c r="K121" s="9" t="s">
        <v>32</v>
      </c>
      <c r="L121" s="9" t="s">
        <v>33</v>
      </c>
      <c r="M121" s="9" t="s">
        <v>34</v>
      </c>
      <c r="N121" s="9" t="s">
        <v>35</v>
      </c>
      <c r="O121" s="9" t="s">
        <v>36</v>
      </c>
      <c r="P121" s="9" t="s">
        <v>37</v>
      </c>
      <c r="Q121" s="9" t="s">
        <v>38</v>
      </c>
      <c r="R121" s="9" t="s">
        <v>39</v>
      </c>
    </row>
    <row r="122" customFormat="false" ht="15" hidden="false" customHeight="false" outlineLevel="0" collapsed="false">
      <c r="A122" s="7" t="s">
        <v>22</v>
      </c>
      <c r="B122" s="7" t="s">
        <v>42</v>
      </c>
      <c r="C122" s="10" t="n">
        <f aca="false">$Y$105</f>
        <v>0.13</v>
      </c>
      <c r="K122" s="7" t="str">
        <f aca="false">COMPLEX(1,0)</f>
        <v>1</v>
      </c>
      <c r="L122" s="7" t="str">
        <f aca="false">COMPLEX(-C122,0)</f>
        <v>-0.13</v>
      </c>
      <c r="M122" s="7" t="str">
        <f aca="false">COMPLEX(0,0)</f>
        <v>0</v>
      </c>
      <c r="N122" s="7" t="str">
        <f aca="false">COMPLEX(1,0)</f>
        <v>1</v>
      </c>
      <c r="O122" s="7" t="str">
        <f aca="false">K122</f>
        <v>1</v>
      </c>
      <c r="P122" s="7" t="str">
        <f aca="false">L122</f>
        <v>-0.13</v>
      </c>
      <c r="Q122" s="7" t="str">
        <f aca="false">M122</f>
        <v>0</v>
      </c>
      <c r="R122" s="7" t="str">
        <f aca="false">N122</f>
        <v>1</v>
      </c>
    </row>
    <row r="123" customFormat="false" ht="15" hidden="false" customHeight="false" outlineLevel="0" collapsed="false">
      <c r="A123" s="7" t="s">
        <v>64</v>
      </c>
      <c r="B123" s="7" t="s">
        <v>65</v>
      </c>
      <c r="C123" s="10" t="n">
        <f aca="false">INDEX(Classes!$B$5:$F$9,MATCH(Engine!$C$104,Classes!$A$5:$A$9,0),5)*(N118*1000)</f>
        <v>106052.5</v>
      </c>
      <c r="K123" s="7" t="str">
        <f aca="false">COMPLEX(1,0)</f>
        <v>1</v>
      </c>
      <c r="L123" s="7" t="str">
        <f aca="false">COMPLEX(0,0)</f>
        <v>0</v>
      </c>
      <c r="M123" s="7" t="str">
        <f aca="false">COMPLEX(0,-(2*PI()/($B$2*3600))*C123)</f>
        <v>-7.71235543738036i</v>
      </c>
      <c r="N123" s="7" t="str">
        <f aca="false">COMPLEX(1,0)</f>
        <v>1</v>
      </c>
      <c r="O123" s="7" t="str">
        <f aca="false">IMSUM(IMPRODUCT(K123,O122),IMPRODUCT(L123,Q122))</f>
        <v>1</v>
      </c>
      <c r="P123" s="7" t="str">
        <f aca="false">IMSUM(IMPRODUCT(K123,P122),IMPRODUCT(L123,R122))</f>
        <v>-0.13</v>
      </c>
      <c r="Q123" s="7" t="str">
        <f aca="false">IMSUM(IMPRODUCT(M123,O122),IMPRODUCT(N123,Q122))</f>
        <v>-7.71235543738036i</v>
      </c>
      <c r="R123" s="7" t="str">
        <f aca="false">IMSUM(IMPRODUCT(M123,P122),IMPRODUCT(N123,R122))</f>
        <v>1+1.00260620685945i</v>
      </c>
    </row>
    <row r="124" customFormat="false" ht="15" hidden="false" customHeight="false" outlineLevel="0" collapsed="false">
      <c r="A124" s="7" t="s">
        <v>66</v>
      </c>
      <c r="B124" s="7" t="s">
        <v>42</v>
      </c>
      <c r="C124" s="10" t="n">
        <f aca="false">P118/6</f>
        <v>0.874062049062049</v>
      </c>
      <c r="K124" s="7" t="str">
        <f aca="false">COMPLEX(1,0)</f>
        <v>1</v>
      </c>
      <c r="L124" s="7" t="str">
        <f aca="false">COMPLEX(-C124,0)</f>
        <v>-0.874062049062049</v>
      </c>
      <c r="M124" s="7" t="str">
        <f aca="false">COMPLEX(0,0)</f>
        <v>0</v>
      </c>
      <c r="N124" s="7" t="str">
        <f aca="false">COMPLEX(1,0)</f>
        <v>1</v>
      </c>
      <c r="O124" s="7" t="str">
        <f aca="false">IMSUM(IMPRODUCT(K124,O123),IMPRODUCT(L124,Q123))</f>
        <v>1+6.74107719669151i</v>
      </c>
      <c r="P124" s="7" t="str">
        <f aca="false">IMSUM(IMPRODUCT(K124,P123),IMPRODUCT(L124,R123))</f>
        <v>-1.00406204906205-0.876340035569899i</v>
      </c>
      <c r="Q124" s="7" t="str">
        <f aca="false">IMSUM(IMPRODUCT(M124,O123),IMPRODUCT(N124,Q123))</f>
        <v>-7.71235543738036i</v>
      </c>
      <c r="R124" s="7" t="str">
        <f aca="false">IMSUM(IMPRODUCT(M124,P123),IMPRODUCT(N124,R123))</f>
        <v>1+1.00260620685945i</v>
      </c>
    </row>
    <row r="125" customFormat="false" ht="15" hidden="false" customHeight="false" outlineLevel="0" collapsed="false">
      <c r="A125" s="7" t="s">
        <v>67</v>
      </c>
      <c r="B125" s="7" t="s">
        <v>65</v>
      </c>
      <c r="C125" s="10" t="n">
        <f aca="false">INDEX(Classes!$B$5:$F$9,MATCH(Engine!$C$104,Classes!$A$5:$A$9,0),4)*(N118*1000)</f>
        <v>0</v>
      </c>
      <c r="K125" s="7" t="str">
        <f aca="false">COMPLEX(1,0)</f>
        <v>1</v>
      </c>
      <c r="L125" s="7" t="str">
        <f aca="false">COMPLEX(0,0)</f>
        <v>0</v>
      </c>
      <c r="M125" s="7" t="str">
        <f aca="false">COMPLEX(0,-(2*PI()/($B$2*3600))*C125)</f>
        <v>0</v>
      </c>
      <c r="N125" s="7" t="str">
        <f aca="false">COMPLEX(1,0)</f>
        <v>1</v>
      </c>
      <c r="O125" s="7" t="str">
        <f aca="false">IMSUM(IMPRODUCT(K125,O124),IMPRODUCT(L125,Q124))</f>
        <v>1+6.74107719669151i</v>
      </c>
      <c r="P125" s="7" t="str">
        <f aca="false">IMSUM(IMPRODUCT(K125,P124),IMPRODUCT(L125,R124))</f>
        <v>-1.00406204906205-0.876340035569899i</v>
      </c>
      <c r="Q125" s="7" t="str">
        <f aca="false">IMSUM(IMPRODUCT(M125,O124),IMPRODUCT(N125,Q124))</f>
        <v>-7.71235543738036i</v>
      </c>
      <c r="R125" s="7" t="str">
        <f aca="false">IMSUM(IMPRODUCT(M125,P124),IMPRODUCT(N125,R124))</f>
        <v>1+1.00260620685945i</v>
      </c>
    </row>
    <row r="126" customFormat="false" ht="15" hidden="false" customHeight="false" outlineLevel="0" collapsed="false">
      <c r="A126" s="7" t="s">
        <v>68</v>
      </c>
      <c r="B126" s="7" t="s">
        <v>42</v>
      </c>
      <c r="C126" s="10" t="n">
        <f aca="false">P118/3</f>
        <v>1.7481240981241</v>
      </c>
      <c r="K126" s="7" t="str">
        <f aca="false">COMPLEX(1,0)</f>
        <v>1</v>
      </c>
      <c r="L126" s="7" t="str">
        <f aca="false">COMPLEX(-C126,0)</f>
        <v>-1.7481240981241</v>
      </c>
      <c r="M126" s="7" t="str">
        <f aca="false">COMPLEX(0,0)</f>
        <v>0</v>
      </c>
      <c r="N126" s="7" t="str">
        <f aca="false">COMPLEX(1,0)</f>
        <v>1</v>
      </c>
      <c r="O126" s="7" t="str">
        <f aca="false">IMSUM(IMPRODUCT(K126,O125),IMPRODUCT(L126,Q125))</f>
        <v>1+20.2232315900745i</v>
      </c>
      <c r="P126" s="7" t="str">
        <f aca="false">IMSUM(IMPRODUCT(K126,P125),IMPRODUCT(L126,R125))</f>
        <v>-2.75218614718615-2.6290201067097i</v>
      </c>
      <c r="Q126" s="7" t="str">
        <f aca="false">IMSUM(IMPRODUCT(M126,O125),IMPRODUCT(N126,Q125))</f>
        <v>-7.71235543738036i</v>
      </c>
      <c r="R126" s="7" t="str">
        <f aca="false">IMSUM(IMPRODUCT(M126,P125),IMPRODUCT(N126,R125))</f>
        <v>1+1.00260620685945i</v>
      </c>
    </row>
    <row r="127" customFormat="false" ht="15" hidden="false" customHeight="false" outlineLevel="0" collapsed="false">
      <c r="A127" s="7" t="s">
        <v>69</v>
      </c>
      <c r="B127" s="7" t="s">
        <v>65</v>
      </c>
      <c r="C127" s="10" t="n">
        <f aca="false">INDEX(Classes!$B$5:$F$9,MATCH(Engine!$C$104,Classes!$A$5:$A$9,0),3)*(N118*1000)</f>
        <v>0</v>
      </c>
      <c r="K127" s="7" t="str">
        <f aca="false">COMPLEX(1,0)</f>
        <v>1</v>
      </c>
      <c r="L127" s="7" t="str">
        <f aca="false">COMPLEX(0,0)</f>
        <v>0</v>
      </c>
      <c r="M127" s="7" t="str">
        <f aca="false">COMPLEX(0,-(2*PI()/($B$2*3600))*C127)</f>
        <v>0</v>
      </c>
      <c r="N127" s="7" t="str">
        <f aca="false">COMPLEX(1,0)</f>
        <v>1</v>
      </c>
      <c r="O127" s="7" t="str">
        <f aca="false">IMSUM(IMPRODUCT(K127,O126),IMPRODUCT(L127,Q126))</f>
        <v>1+20.2232315900745i</v>
      </c>
      <c r="P127" s="7" t="str">
        <f aca="false">IMSUM(IMPRODUCT(K127,P126),IMPRODUCT(L127,R126))</f>
        <v>-2.75218614718615-2.6290201067097i</v>
      </c>
      <c r="Q127" s="7" t="str">
        <f aca="false">IMSUM(IMPRODUCT(M127,O126),IMPRODUCT(N127,Q126))</f>
        <v>-7.71235543738036i</v>
      </c>
      <c r="R127" s="7" t="str">
        <f aca="false">IMSUM(IMPRODUCT(M127,P126),IMPRODUCT(N127,R126))</f>
        <v>1+1.00260620685945i</v>
      </c>
    </row>
    <row r="128" customFormat="false" ht="15" hidden="false" customHeight="false" outlineLevel="0" collapsed="false">
      <c r="A128" s="7" t="s">
        <v>68</v>
      </c>
      <c r="B128" s="7" t="s">
        <v>42</v>
      </c>
      <c r="C128" s="10" t="n">
        <f aca="false">P118/3</f>
        <v>1.7481240981241</v>
      </c>
      <c r="K128" s="7" t="str">
        <f aca="false">COMPLEX(1,0)</f>
        <v>1</v>
      </c>
      <c r="L128" s="7" t="str">
        <f aca="false">COMPLEX(-C128,0)</f>
        <v>-1.7481240981241</v>
      </c>
      <c r="M128" s="7" t="str">
        <f aca="false">COMPLEX(0,0)</f>
        <v>0</v>
      </c>
      <c r="N128" s="7" t="str">
        <f aca="false">COMPLEX(1,0)</f>
        <v>1</v>
      </c>
      <c r="O128" s="7" t="str">
        <f aca="false">IMSUM(IMPRODUCT(K128,O127),IMPRODUCT(L128,Q127))</f>
        <v>1+33.7053859834575i</v>
      </c>
      <c r="P128" s="7" t="str">
        <f aca="false">IMSUM(IMPRODUCT(K128,P127),IMPRODUCT(L128,R127))</f>
        <v>-4.50031024531025-4.3817001778495i</v>
      </c>
      <c r="Q128" s="7" t="str">
        <f aca="false">IMSUM(IMPRODUCT(M128,O127),IMPRODUCT(N128,Q127))</f>
        <v>-7.71235543738036i</v>
      </c>
      <c r="R128" s="7" t="str">
        <f aca="false">IMSUM(IMPRODUCT(M128,P127),IMPRODUCT(N128,R127))</f>
        <v>1+1.00260620685945i</v>
      </c>
    </row>
    <row r="129" customFormat="false" ht="15" hidden="false" customHeight="false" outlineLevel="0" collapsed="false">
      <c r="A129" s="7" t="s">
        <v>70</v>
      </c>
      <c r="B129" s="7" t="s">
        <v>65</v>
      </c>
      <c r="C129" s="10" t="n">
        <f aca="false">INDEX(Classes!$B$5:$F$9,MATCH(Engine!$C$104,Classes!$A$5:$A$9,0),2)*(N118*1000)</f>
        <v>0</v>
      </c>
      <c r="K129" s="7" t="str">
        <f aca="false">COMPLEX(1,0)</f>
        <v>1</v>
      </c>
      <c r="L129" s="7" t="str">
        <f aca="false">COMPLEX(0,0)</f>
        <v>0</v>
      </c>
      <c r="M129" s="7" t="str">
        <f aca="false">COMPLEX(0,-(2*PI()/($B$2*3600))*C129)</f>
        <v>0</v>
      </c>
      <c r="N129" s="7" t="str">
        <f aca="false">COMPLEX(1,0)</f>
        <v>1</v>
      </c>
      <c r="O129" s="7" t="str">
        <f aca="false">IMSUM(IMPRODUCT(K129,O128),IMPRODUCT(L129,Q128))</f>
        <v>1+33.7053859834575i</v>
      </c>
      <c r="P129" s="7" t="str">
        <f aca="false">IMSUM(IMPRODUCT(K129,P128),IMPRODUCT(L129,R128))</f>
        <v>-4.50031024531025-4.3817001778495i</v>
      </c>
      <c r="Q129" s="7" t="str">
        <f aca="false">IMSUM(IMPRODUCT(M129,O128),IMPRODUCT(N129,Q128))</f>
        <v>-7.71235543738036i</v>
      </c>
      <c r="R129" s="7" t="str">
        <f aca="false">IMSUM(IMPRODUCT(M129,P128),IMPRODUCT(N129,R128))</f>
        <v>1+1.00260620685945i</v>
      </c>
    </row>
    <row r="130" customFormat="false" ht="15" hidden="false" customHeight="false" outlineLevel="0" collapsed="false">
      <c r="A130" s="7" t="s">
        <v>66</v>
      </c>
      <c r="B130" s="7" t="s">
        <v>42</v>
      </c>
      <c r="C130" s="10" t="n">
        <f aca="false">P118/6</f>
        <v>0.874062049062049</v>
      </c>
      <c r="K130" s="7" t="str">
        <f aca="false">COMPLEX(1,0)</f>
        <v>1</v>
      </c>
      <c r="L130" s="7" t="str">
        <f aca="false">COMPLEX(-C130,0)</f>
        <v>-0.874062049062049</v>
      </c>
      <c r="M130" s="7" t="str">
        <f aca="false">COMPLEX(0,0)</f>
        <v>0</v>
      </c>
      <c r="N130" s="7" t="str">
        <f aca="false">COMPLEX(1,0)</f>
        <v>1</v>
      </c>
      <c r="O130" s="7" t="str">
        <f aca="false">IMSUM(IMPRODUCT(K130,O129),IMPRODUCT(L130,Q129))</f>
        <v>1+40.446463180149i</v>
      </c>
      <c r="P130" s="7" t="str">
        <f aca="false">IMSUM(IMPRODUCT(K130,P129),IMPRODUCT(L130,R129))</f>
        <v>-5.3743722943723-5.2580402134194i</v>
      </c>
      <c r="Q130" s="7" t="str">
        <f aca="false">IMSUM(IMPRODUCT(M130,O129),IMPRODUCT(N130,Q129))</f>
        <v>-7.71235543738036i</v>
      </c>
      <c r="R130" s="7" t="str">
        <f aca="false">IMSUM(IMPRODUCT(M130,P129),IMPRODUCT(N130,R129))</f>
        <v>1+1.00260620685945i</v>
      </c>
    </row>
    <row r="131" customFormat="false" ht="15" hidden="false" customHeight="false" outlineLevel="0" collapsed="false">
      <c r="A131" s="7" t="s">
        <v>71</v>
      </c>
      <c r="B131" s="7" t="s">
        <v>65</v>
      </c>
      <c r="C131" s="10" t="n">
        <f aca="false">INDEX(Classes!$B$5:$F$9,MATCH(Engine!$C$104,Classes!$A$5:$A$9,0),1)*(N118*1000)</f>
        <v>106052.5</v>
      </c>
      <c r="K131" s="7" t="str">
        <f aca="false">COMPLEX(1,0)</f>
        <v>1</v>
      </c>
      <c r="L131" s="7" t="str">
        <f aca="false">COMPLEX(0,0)</f>
        <v>0</v>
      </c>
      <c r="M131" s="7" t="str">
        <f aca="false">COMPLEX(0,-(2*PI()/($B$2*3600))*C131)</f>
        <v>-7.71235543738036i</v>
      </c>
      <c r="N131" s="7" t="str">
        <f aca="false">COMPLEX(1,0)</f>
        <v>1</v>
      </c>
      <c r="O131" s="7" t="str">
        <f aca="false">IMSUM(IMPRODUCT(K131,O130),IMPRODUCT(L131,Q130))</f>
        <v>1+40.446463180149i</v>
      </c>
      <c r="P131" s="7" t="str">
        <f aca="false">IMSUM(IMPRODUCT(K131,P130),IMPRODUCT(L131,R130))</f>
        <v>-5.3743722943723-5.2580402134194i</v>
      </c>
      <c r="Q131" s="7" t="str">
        <f aca="false">IMSUM(IMPRODUCT(M131,O130),IMPRODUCT(N131,Q130))</f>
        <v>311.937500230227-15.4247108747607i</v>
      </c>
      <c r="R131" s="7" t="str">
        <f aca="false">IMSUM(IMPRODUCT(M131,P130),IMPRODUCT(N131,R130))</f>
        <v>-39.5518750299297+42.451675593868i</v>
      </c>
    </row>
    <row r="132" customFormat="false" ht="15" hidden="false" customHeight="false" outlineLevel="0" collapsed="false">
      <c r="A132" s="7" t="s">
        <v>72</v>
      </c>
      <c r="B132" s="7" t="s">
        <v>73</v>
      </c>
      <c r="K132" s="7" t="str">
        <f aca="false">K116</f>
        <v>1</v>
      </c>
      <c r="L132" s="7" t="str">
        <f aca="false">L116</f>
        <v>-0</v>
      </c>
      <c r="M132" s="7" t="str">
        <f aca="false">M116</f>
        <v>0</v>
      </c>
      <c r="N132" s="7" t="str">
        <f aca="false">N116</f>
        <v>1</v>
      </c>
      <c r="O132" s="7" t="str">
        <f aca="false">IMSUM(IMPRODUCT(K132,O131),IMPRODUCT(L132,Q131))</f>
        <v>1+40.446463180149i</v>
      </c>
      <c r="P132" s="7" t="str">
        <f aca="false">IMSUM(IMPRODUCT(K132,P131),IMPRODUCT(L132,R131))</f>
        <v>-5.3743722943723-5.2580402134194i</v>
      </c>
      <c r="Q132" s="7" t="str">
        <f aca="false">IMSUM(IMPRODUCT(M132,O131),IMPRODUCT(N132,Q131))</f>
        <v>311.937500230227-15.4247108747607i</v>
      </c>
      <c r="R132" s="7" t="str">
        <f aca="false">IMSUM(IMPRODUCT(M132,P131),IMPRODUCT(N132,R131))</f>
        <v>-39.5518750299297+42.451675593868i</v>
      </c>
    </row>
    <row r="133" customFormat="false" ht="15" hidden="false" customHeight="false" outlineLevel="0" collapsed="false">
      <c r="A133" s="7" t="s">
        <v>52</v>
      </c>
      <c r="B133" s="7" t="s">
        <v>73</v>
      </c>
      <c r="K133" s="7" t="str">
        <f aca="false">K117</f>
        <v>1</v>
      </c>
      <c r="L133" s="7" t="str">
        <f aca="false">L117</f>
        <v>-0.04</v>
      </c>
      <c r="M133" s="7" t="str">
        <f aca="false">M117</f>
        <v>0</v>
      </c>
      <c r="N133" s="7" t="str">
        <f aca="false">N117</f>
        <v>1</v>
      </c>
      <c r="O133" s="7" t="str">
        <f aca="false">IMSUM(IMPRODUCT(K133,O132),IMPRODUCT(L133,Q132))</f>
        <v>-11.4775000092091+41.0634516151394i</v>
      </c>
      <c r="P133" s="7" t="str">
        <f aca="false">IMSUM(IMPRODUCT(K133,P132),IMPRODUCT(L133,R132))</f>
        <v>-3.79229729317511-6.95610723717412i</v>
      </c>
      <c r="Q133" s="7" t="str">
        <f aca="false">IMSUM(IMPRODUCT(M133,O132),IMPRODUCT(N133,Q132))</f>
        <v>311.937500230227-15.4247108747607i</v>
      </c>
      <c r="R133" s="7" t="str">
        <f aca="false">IMSUM(IMPRODUCT(M133,P132),IMPRODUCT(N133,R132))</f>
        <v>-39.5518750299297+42.451675593868i</v>
      </c>
    </row>
    <row r="134" customFormat="false" ht="15" hidden="false" customHeight="false" outlineLevel="0" collapsed="false">
      <c r="A134" s="9" t="s">
        <v>74</v>
      </c>
      <c r="B134" s="13" t="n">
        <f aca="false">IMABS(IMDIV(IMPRODUCT(O133,COMPLEX(-1,0)),P133))</f>
        <v>5.38167367469834</v>
      </c>
    </row>
    <row r="137" customFormat="false" ht="15" hidden="false" customHeight="false" outlineLevel="0" collapsed="false">
      <c r="A137" s="4" t="s">
        <v>84</v>
      </c>
      <c r="B137" s="9" t="s">
        <v>18</v>
      </c>
      <c r="C137" s="7" t="str">
        <f aca="false">INDEX(Library!$F$5:$F$34,MATCH(A137,Library!$A$5:$A$34,0))</f>
        <v>E</v>
      </c>
    </row>
    <row r="138" customFormat="false" ht="15" hidden="false" customHeight="false" outlineLevel="0" collapsed="false">
      <c r="A138" s="4" t="s">
        <v>85</v>
      </c>
      <c r="T138" s="9" t="s">
        <v>20</v>
      </c>
      <c r="U138" s="7" t="n">
        <f aca="false">MATCH($A$137,Library!$A$5:$A$34,0)</f>
        <v>5</v>
      </c>
      <c r="V138" s="9" t="s">
        <v>21</v>
      </c>
      <c r="W138" s="7" t="str">
        <f aca="false">INDEX(Library!$D$5:$D$34,$U$138)</f>
        <v>ext</v>
      </c>
      <c r="X138" s="9" t="s">
        <v>22</v>
      </c>
      <c r="Y138" s="7" t="n">
        <f aca="false">INDEX(Library!$E$5:$E$34,$U$138)</f>
        <v>0.13</v>
      </c>
    </row>
    <row r="139" customFormat="false" ht="15" hidden="false" customHeight="false" outlineLevel="0" collapsed="false">
      <c r="A139" s="9"/>
      <c r="B139" s="9" t="s">
        <v>23</v>
      </c>
      <c r="C139" s="9" t="s">
        <v>24</v>
      </c>
      <c r="D139" s="9" t="s">
        <v>25</v>
      </c>
      <c r="E139" s="9" t="s">
        <v>26</v>
      </c>
      <c r="F139" s="9" t="s">
        <v>27</v>
      </c>
      <c r="G139" s="9" t="s">
        <v>28</v>
      </c>
      <c r="H139" s="9" t="s">
        <v>29</v>
      </c>
      <c r="I139" s="9" t="s">
        <v>30</v>
      </c>
      <c r="J139" s="9" t="s">
        <v>31</v>
      </c>
      <c r="K139" s="9" t="s">
        <v>32</v>
      </c>
      <c r="L139" s="9" t="s">
        <v>33</v>
      </c>
      <c r="M139" s="9" t="s">
        <v>34</v>
      </c>
      <c r="N139" s="9" t="s">
        <v>35</v>
      </c>
      <c r="O139" s="9" t="s">
        <v>36</v>
      </c>
      <c r="P139" s="9" t="s">
        <v>37</v>
      </c>
      <c r="Q139" s="9" t="s">
        <v>38</v>
      </c>
      <c r="R139" s="9" t="s">
        <v>39</v>
      </c>
      <c r="S139" s="9" t="s">
        <v>40</v>
      </c>
      <c r="T139" s="9" t="s">
        <v>41</v>
      </c>
    </row>
    <row r="140" customFormat="false" ht="15" hidden="false" customHeight="false" outlineLevel="0" collapsed="false">
      <c r="A140" s="7" t="s">
        <v>22</v>
      </c>
      <c r="B140" s="7" t="s">
        <v>42</v>
      </c>
      <c r="H140" s="10" t="n">
        <f aca="false">$Y$138</f>
        <v>0.13</v>
      </c>
      <c r="I140" s="11" t="n">
        <f aca="false">IF(B140="mass",SQRT(E140*($B$2*3600)/(PI()*F140*G140)),0)</f>
        <v>0</v>
      </c>
      <c r="J140" s="10" t="n">
        <f aca="false">IF(B140="mass",D140/I140,0)</f>
        <v>0</v>
      </c>
      <c r="K140" s="7" t="str">
        <f aca="false">IF(B140="mass",COMPLEX(COSH(J140)*COS(J140),SINH(J140)*SIN(J140)),COMPLEX(1,0))</f>
        <v>1</v>
      </c>
      <c r="L140" s="7" t="str">
        <f aca="false">IF(B140="mass",COMPLEX(-I140/(2*E140)*(SINH(J140)*COS(J140)+COSH(J140)*SIN(J140)),-I140/(2*E140)*(COSH(J140)*SIN(J140)-SINH(J140)*COS(J140))),COMPLEX(-H140,0))</f>
        <v>-0.13</v>
      </c>
      <c r="M140" s="7" t="str">
        <f aca="false">IF(B140="mass",COMPLEX(-E140/I140*(SINH(J140)*COS(J140)-COSH(J140)*SIN(J140)),-E140/I140*(SINH(J140)*COS(J140)+COSH(J140)*SIN(J140))),COMPLEX(0,0))</f>
        <v>0</v>
      </c>
      <c r="N140" s="7" t="str">
        <f aca="false">K140</f>
        <v>1</v>
      </c>
      <c r="O140" s="7" t="str">
        <f aca="false">K140</f>
        <v>1</v>
      </c>
      <c r="P140" s="7" t="str">
        <f aca="false">L140</f>
        <v>-0.13</v>
      </c>
      <c r="Q140" s="7" t="str">
        <f aca="false">M140</f>
        <v>0</v>
      </c>
      <c r="R140" s="7" t="str">
        <f aca="false">N140</f>
        <v>1</v>
      </c>
      <c r="S140" s="10" t="n">
        <f aca="false">IF(B140="mass",D140/E140,H140)</f>
        <v>0.13</v>
      </c>
      <c r="T140" s="12" t="n">
        <f aca="false">IF(B140="mass",F140*G140*D140,0)</f>
        <v>0</v>
      </c>
    </row>
    <row r="141" customFormat="false" ht="15" hidden="false" customHeight="false" outlineLevel="0" collapsed="false">
      <c r="A141" s="7" t="s">
        <v>43</v>
      </c>
      <c r="B141" s="7" t="str">
        <f aca="false">IF(C141="","none",IF(C141="Cavity","res","mass"))</f>
        <v>mass</v>
      </c>
      <c r="C141" s="7" t="str">
        <f aca="false">IF(INDEX(Library!$G$5:$G$34,$U$138)="","",INDEX(Library!$G$5:$G$34,$U$138))</f>
        <v>plasterboard</v>
      </c>
      <c r="D141" s="11" t="n">
        <f aca="false">IF(B141="mass",INDEX(Library!$H$5:$H$34,$U$138)/1000,0)</f>
        <v>0.0125</v>
      </c>
      <c r="E141" s="7" t="n">
        <f aca="false">IF(B141="mass",INDEX(Materials!$B$5:$B$28,MATCH(C141,Materials!$A$5:$A$28,0)),0)</f>
        <v>0.21</v>
      </c>
      <c r="F141" s="7" t="n">
        <f aca="false">IF(B141="mass",INDEX(Materials!$C$5:$C$28,MATCH(C141,Materials!$A$5:$A$28,0)),0)</f>
        <v>700</v>
      </c>
      <c r="G141" s="7" t="n">
        <f aca="false">IF(B141="mass",INDEX(Materials!$D$5:$D$28,MATCH(C141,Materials!$A$5:$A$28,0)),0)</f>
        <v>1000</v>
      </c>
      <c r="H141" s="10" t="n">
        <f aca="false">IF(B141="res",INDEX(Library!$H$5:$H$34,$U$138),0)</f>
        <v>0</v>
      </c>
      <c r="I141" s="11" t="n">
        <f aca="false">IF(B141="mass",SQRT(E141*($B$2*3600)/(PI()*F141*G141)),0)</f>
        <v>0.0908327707927258</v>
      </c>
      <c r="J141" s="10" t="n">
        <f aca="false">IF(B141="mass",D141/I141,0)</f>
        <v>0.137615531166875</v>
      </c>
      <c r="K141" s="7" t="str">
        <f aca="false">IF(B141="mass",COMPLEX(COSH(J141)*COS(J141),SINH(J141)*SIN(J141)),COMPLEX(1,0))</f>
        <v>0.999940225193105+0.0189379589504749i</v>
      </c>
      <c r="L141" s="7" t="str">
        <f aca="false">IF(B141="mass",COMPLEX(-I141/(2*E141)*(SINH(J141)*COS(J141)+COSH(J141)*SIN(J141)),-I141/(2*E141)*(COSH(J141)*SIN(J141)-SINH(J141)*COS(J141))),COMPLEX(-H141,0))</f>
        <v>-0.0595230979186955-0.000375754009423939i</v>
      </c>
      <c r="M141" s="7" t="str">
        <f aca="false">IF(B141="mass",COMPLEX(-E141/I141*(SINH(J141)*COS(J141)-COSH(J141)*SIN(J141)),-E141/I141*(SINH(J141)*COS(J141)+COSH(J141)*SIN(J141))),COMPLEX(0,0))</f>
        <v>0.00401686359323574-0.636310349296785i</v>
      </c>
      <c r="N141" s="7" t="str">
        <f aca="false">K141</f>
        <v>0.999940225193105+0.0189379589504749i</v>
      </c>
      <c r="O141" s="7" t="str">
        <f aca="false">IMSUM(IMPRODUCT(K141,O140),IMPRODUCT(L141,Q140))</f>
        <v>0.999940225193105+0.0189379589504749i</v>
      </c>
      <c r="P141" s="7" t="str">
        <f aca="false">IMSUM(IMPRODUCT(K141,P140),IMPRODUCT(L141,R140))</f>
        <v>-0.1895153271938-0.00283768867298567i</v>
      </c>
      <c r="Q141" s="7" t="str">
        <f aca="false">IMSUM(IMPRODUCT(M141,O140),IMPRODUCT(N141,Q140))</f>
        <v>0.00401686359323574-0.636310349296785i</v>
      </c>
      <c r="R141" s="7" t="str">
        <f aca="false">IMSUM(IMPRODUCT(M141,P140),IMPRODUCT(N141,R140))</f>
        <v>0.999418032925984+0.101658304359057i</v>
      </c>
      <c r="S141" s="10" t="n">
        <f aca="false">IF(B141="mass",D141/E141,H141)</f>
        <v>0.0595238095238095</v>
      </c>
      <c r="T141" s="12" t="n">
        <f aca="false">IF(B141="mass",F141*G141*D141,0)</f>
        <v>8750</v>
      </c>
    </row>
    <row r="142" customFormat="false" ht="15" hidden="false" customHeight="false" outlineLevel="0" collapsed="false">
      <c r="A142" s="7" t="s">
        <v>44</v>
      </c>
      <c r="B142" s="7" t="str">
        <f aca="false">IF(C142="","none",IF(C142="Cavity","res","mass"))</f>
        <v>mass</v>
      </c>
      <c r="C142" s="7" t="str">
        <f aca="false">IF(INDEX(Library!$I$5:$I$34,$U$138)="","",INDEX(Library!$I$5:$I$34,$U$138))</f>
        <v>mineral wool + studs</v>
      </c>
      <c r="D142" s="11" t="n">
        <f aca="false">IF(B142="mass",INDEX(Library!$J$5:$J$34,$U$138)/1000,0)</f>
        <v>0.14</v>
      </c>
      <c r="E142" s="7" t="n">
        <f aca="false">IF(B142="mass",INDEX(Materials!$B$5:$B$28,MATCH(C142,Materials!$A$5:$A$28,0)),0)</f>
        <v>0.04</v>
      </c>
      <c r="F142" s="7" t="n">
        <f aca="false">IF(B142="mass",INDEX(Materials!$C$5:$C$28,MATCH(C142,Materials!$A$5:$A$28,0)),0)</f>
        <v>60</v>
      </c>
      <c r="G142" s="7" t="n">
        <f aca="false">IF(B142="mass",INDEX(Materials!$D$5:$D$28,MATCH(C142,Materials!$A$5:$A$28,0)),0)</f>
        <v>1200</v>
      </c>
      <c r="H142" s="10" t="n">
        <f aca="false">IF(B142="res",INDEX(Library!$J$5:$J$34,$U$138),0)</f>
        <v>0</v>
      </c>
      <c r="I142" s="11" t="n">
        <f aca="false">IF(B142="mass",SQRT(E142*($B$2*3600)/(PI()*F142*G142)),0)</f>
        <v>0.123607744647421</v>
      </c>
      <c r="J142" s="10" t="n">
        <f aca="false">IF(B142="mass",D142/I142,0)</f>
        <v>1.13261511565749</v>
      </c>
      <c r="K142" s="7" t="str">
        <f aca="false">IF(B142="mass",COMPLEX(COSH(J142)*COS(J142),SINH(J142)*SIN(J142)),COMPLEX(1,0))</f>
        <v>0.726804123649525+1.25939175281049i</v>
      </c>
      <c r="L142" s="7" t="str">
        <f aca="false">IF(B142="mass",COMPLEX(-I142/(2*E142)*(SINH(J142)*COS(J142)+COSH(J142)*SIN(J142)),-I142/(2*E142)*(COSH(J142)*SIN(J142)-SINH(J142)*COS(J142))),COMPLEX(-H142,0))</f>
        <v>-3.30842881418949-1.48490164221554i</v>
      </c>
      <c r="M142" s="7" t="str">
        <f aca="false">IF(B142="mass",COMPLEX(-E142/I142*(SINH(J142)*COS(J142)-COSH(J142)*SIN(J142)),-E142/I142*(SINH(J142)*COS(J142)+COSH(J142)*SIN(J142))),COMPLEX(0,0))</f>
        <v>0.310997072699183-0.692915710505499i</v>
      </c>
      <c r="N142" s="7" t="str">
        <f aca="false">K142</f>
        <v>0.726804123649525+1.25939175281049i</v>
      </c>
      <c r="O142" s="7" t="str">
        <f aca="false">IMSUM(IMPRODUCT(K142,O141),IMPRODUCT(L142,Q141))</f>
        <v>-0.255237420127978+3.37230350660468i</v>
      </c>
      <c r="P142" s="7" t="str">
        <f aca="false">IMSUM(IMPRODUCT(K142,P141),IMPRODUCT(L142,R141))</f>
        <v>-3.28971759405274-2.06110322562298i</v>
      </c>
      <c r="Q142" s="7" t="str">
        <f aca="false">IMSUM(IMPRODUCT(M142,O141),IMPRODUCT(N142,Q141))</f>
        <v>1.12838437134694-1.1443988227145i</v>
      </c>
      <c r="R142" s="7" t="str">
        <f aca="false">IMSUM(IMPRODUCT(M142,P141),IMPRODUCT(N142,R141))</f>
        <v>0.537448526413872+1.46298013781209i</v>
      </c>
      <c r="S142" s="10" t="n">
        <f aca="false">IF(B142="mass",D142/E142,H142)</f>
        <v>3.5</v>
      </c>
      <c r="T142" s="12" t="n">
        <f aca="false">IF(B142="mass",F142*G142*D142,0)</f>
        <v>10080</v>
      </c>
    </row>
    <row r="143" customFormat="false" ht="15" hidden="false" customHeight="false" outlineLevel="0" collapsed="false">
      <c r="A143" s="7" t="s">
        <v>45</v>
      </c>
      <c r="B143" s="7" t="str">
        <f aca="false">IF(C143="","none",IF(C143="Cavity","res","mass"))</f>
        <v>mass</v>
      </c>
      <c r="C143" s="7" t="str">
        <f aca="false">IF(INDEX(Library!$K$5:$K$34,$U$138)="","",INDEX(Library!$K$5:$K$34,$U$138))</f>
        <v>OSB</v>
      </c>
      <c r="D143" s="11" t="n">
        <f aca="false">IF(B143="mass",INDEX(Library!$L$5:$L$34,$U$138)/1000,0)</f>
        <v>0.009</v>
      </c>
      <c r="E143" s="7" t="n">
        <f aca="false">IF(B143="mass",INDEX(Materials!$B$5:$B$28,MATCH(C143,Materials!$A$5:$A$28,0)),0)</f>
        <v>0.13</v>
      </c>
      <c r="F143" s="7" t="n">
        <f aca="false">IF(B143="mass",INDEX(Materials!$C$5:$C$28,MATCH(C143,Materials!$A$5:$A$28,0)),0)</f>
        <v>650</v>
      </c>
      <c r="G143" s="7" t="n">
        <f aca="false">IF(B143="mass",INDEX(Materials!$D$5:$D$28,MATCH(C143,Materials!$A$5:$A$28,0)),0)</f>
        <v>1700</v>
      </c>
      <c r="H143" s="10" t="n">
        <f aca="false">IF(B143="res",INDEX(Library!$L$5:$L$34,$U$138),0)</f>
        <v>0</v>
      </c>
      <c r="I143" s="11" t="n">
        <f aca="false">IF(B143="mass",SQRT(E143*($B$2*3600)/(PI()*F143*G143)),0)</f>
        <v>0.0568816874969746</v>
      </c>
      <c r="J143" s="10" t="n">
        <f aca="false">IF(B143="mass",D143/I143,0)</f>
        <v>0.158223153989211</v>
      </c>
      <c r="K143" s="7" t="str">
        <f aca="false">IF(B143="mass",COMPLEX(COSH(J143)*COS(J143),SINH(J143)*SIN(J143)),COMPLEX(1,0))</f>
        <v>0.999895545236243+0.0250343921261386i</v>
      </c>
      <c r="L143" s="7" t="str">
        <f aca="false">IF(B143="mass",COMPLEX(-I143/(2*E143)*(SINH(J143)*COS(J143)+COSH(J143)*SIN(J143)),-I143/(2*E143)*(COSH(J143)*SIN(J143)-SINH(J143)*COS(J143))),COMPLEX(-H143,0))</f>
        <v>-0.0692293229330811-0.000577719040257679i</v>
      </c>
      <c r="M143" s="7" t="str">
        <f aca="false">IF(B143="mass",COMPLEX(-E143/I143*(SINH(J143)*COS(J143)-COSH(J143)*SIN(J143)),-E143/I143*(SINH(J143)*COS(J143)+COSH(J143)*SIN(J143))),COMPLEX(0,0))</f>
        <v>0.0060351551224108-0.723205700013385i</v>
      </c>
      <c r="N143" s="7" t="str">
        <f aca="false">K143</f>
        <v>0.999895545236243+0.0250343921261386i</v>
      </c>
      <c r="O143" s="7" t="str">
        <f aca="false">IMSUM(IMPRODUCT(K143,O142),IMPRODUCT(L143,Q142))</f>
        <v>-0.4184127547424+3.44413560630371i</v>
      </c>
      <c r="P143" s="7" t="str">
        <f aca="false">IMSUM(IMPRODUCT(K143,P142),IMPRODUCT(L143,R142))</f>
        <v>-3.27413750712981-2.24483563245838i</v>
      </c>
      <c r="Q143" s="7" t="str">
        <f aca="false">IMSUM(IMPRODUCT(M143,O142),IMPRODUCT(N143,Q142))</f>
        <v>3.59424455582864-0.911089336109046i</v>
      </c>
      <c r="R143" s="7" t="str">
        <f aca="false">IMSUM(IMPRODUCT(M143,P142),IMPRODUCT(N143,R142))</f>
        <v>-1.00968798816328+3.84298545748859i</v>
      </c>
      <c r="S143" s="10" t="n">
        <f aca="false">IF(B143="mass",D143/E143,H143)</f>
        <v>0.0692307692307692</v>
      </c>
      <c r="T143" s="12" t="n">
        <f aca="false">IF(B143="mass",F143*G143*D143,0)</f>
        <v>9945</v>
      </c>
    </row>
    <row r="144" customFormat="false" ht="15" hidden="false" customHeight="false" outlineLevel="0" collapsed="false">
      <c r="A144" s="7" t="s">
        <v>46</v>
      </c>
      <c r="B144" s="7" t="str">
        <f aca="false">IF(C144="","none",IF(C144="Cavity","res","mass"))</f>
        <v>res</v>
      </c>
      <c r="C144" s="7" t="str">
        <f aca="false">IF(INDEX(Library!$M$5:$M$34,$U$138)="","",INDEX(Library!$M$5:$M$34,$U$138))</f>
        <v>Cavity</v>
      </c>
      <c r="D144" s="11" t="n">
        <f aca="false">IF(B144="mass",INDEX(Library!$N$5:$N$34,$U$138)/1000,0)</f>
        <v>0</v>
      </c>
      <c r="E144" s="7" t="n">
        <f aca="false">IF(B144="mass",INDEX(Materials!$B$5:$B$28,MATCH(C144,Materials!$A$5:$A$28,0)),0)</f>
        <v>0</v>
      </c>
      <c r="F144" s="7" t="n">
        <f aca="false">IF(B144="mass",INDEX(Materials!$C$5:$C$28,MATCH(C144,Materials!$A$5:$A$28,0)),0)</f>
        <v>0</v>
      </c>
      <c r="G144" s="7" t="n">
        <f aca="false">IF(B144="mass",INDEX(Materials!$D$5:$D$28,MATCH(C144,Materials!$A$5:$A$28,0)),0)</f>
        <v>0</v>
      </c>
      <c r="H144" s="10" t="n">
        <f aca="false">IF(B144="res",INDEX(Library!$N$5:$N$34,$U$138),0)</f>
        <v>0.18</v>
      </c>
      <c r="I144" s="11" t="n">
        <f aca="false">IF(B144="mass",SQRT(E144*($B$2*3600)/(PI()*F144*G144)),0)</f>
        <v>0</v>
      </c>
      <c r="J144" s="10" t="n">
        <f aca="false">IF(B144="mass",D144/I144,0)</f>
        <v>0</v>
      </c>
      <c r="K144" s="7" t="str">
        <f aca="false">IF(B144="mass",COMPLEX(COSH(J144)*COS(J144),SINH(J144)*SIN(J144)),COMPLEX(1,0))</f>
        <v>1</v>
      </c>
      <c r="L144" s="7" t="str">
        <f aca="false">IF(B144="mass",COMPLEX(-I144/(2*E144)*(SINH(J144)*COS(J144)+COSH(J144)*SIN(J144)),-I144/(2*E144)*(COSH(J144)*SIN(J144)-SINH(J144)*COS(J144))),COMPLEX(-H144,0))</f>
        <v>-0.18</v>
      </c>
      <c r="M144" s="7" t="str">
        <f aca="false">IF(B144="mass",COMPLEX(-E144/I144*(SINH(J144)*COS(J144)-COSH(J144)*SIN(J144)),-E144/I144*(SINH(J144)*COS(J144)+COSH(J144)*SIN(J144))),COMPLEX(0,0))</f>
        <v>0</v>
      </c>
      <c r="N144" s="7" t="str">
        <f aca="false">K144</f>
        <v>1</v>
      </c>
      <c r="O144" s="7" t="str">
        <f aca="false">IMSUM(IMPRODUCT(K144,O143),IMPRODUCT(L144,Q143))</f>
        <v>-1.06537677479156+3.60813168680334i</v>
      </c>
      <c r="P144" s="7" t="str">
        <f aca="false">IMSUM(IMPRODUCT(K144,P143),IMPRODUCT(L144,R143))</f>
        <v>-3.09239366926042-2.93657301480633i</v>
      </c>
      <c r="Q144" s="7" t="str">
        <f aca="false">IMSUM(IMPRODUCT(M144,O143),IMPRODUCT(N144,Q143))</f>
        <v>3.59424455582864-0.911089336109046i</v>
      </c>
      <c r="R144" s="7" t="str">
        <f aca="false">IMSUM(IMPRODUCT(M144,P143),IMPRODUCT(N144,R143))</f>
        <v>-1.00968798816328+3.84298545748859i</v>
      </c>
      <c r="S144" s="10" t="n">
        <f aca="false">IF(B144="mass",D144/E144,H144)</f>
        <v>0.18</v>
      </c>
      <c r="T144" s="12" t="n">
        <f aca="false">IF(B144="mass",F144*G144*D144,0)</f>
        <v>0</v>
      </c>
    </row>
    <row r="145" customFormat="false" ht="15" hidden="false" customHeight="false" outlineLevel="0" collapsed="false">
      <c r="A145" s="7" t="s">
        <v>47</v>
      </c>
      <c r="B145" s="7" t="str">
        <f aca="false">IF(C145="","none",IF(C145="Cavity","res","mass"))</f>
        <v>mass</v>
      </c>
      <c r="C145" s="7" t="str">
        <f aca="false">IF(INDEX(Library!$O$5:$O$34,$U$138)="","",INDEX(Library!$O$5:$O$34,$U$138))</f>
        <v>brick</v>
      </c>
      <c r="D145" s="11" t="n">
        <f aca="false">IF(B145="mass",INDEX(Library!$P$5:$P$34,$U$138)/1000,0)</f>
        <v>0.102</v>
      </c>
      <c r="E145" s="7" t="n">
        <f aca="false">IF(B145="mass",INDEX(Materials!$B$5:$B$28,MATCH(C145,Materials!$A$5:$A$28,0)),0)</f>
        <v>0.77</v>
      </c>
      <c r="F145" s="7" t="n">
        <f aca="false">IF(B145="mass",INDEX(Materials!$C$5:$C$28,MATCH(C145,Materials!$A$5:$A$28,0)),0)</f>
        <v>1700</v>
      </c>
      <c r="G145" s="7" t="n">
        <f aca="false">IF(B145="mass",INDEX(Materials!$D$5:$D$28,MATCH(C145,Materials!$A$5:$A$28,0)),0)</f>
        <v>800</v>
      </c>
      <c r="H145" s="10" t="n">
        <f aca="false">IF(B145="res",INDEX(Library!$P$5:$P$34,$U$138),0)</f>
        <v>0</v>
      </c>
      <c r="I145" s="11" t="n">
        <f aca="false">IF(B145="mass",SQRT(E145*($B$2*3600)/(PI()*F145*G145)),0)</f>
        <v>0.12478369552018</v>
      </c>
      <c r="J145" s="10" t="n">
        <f aca="false">IF(B145="mass",D145/I145,0)</f>
        <v>0.81741448331689</v>
      </c>
      <c r="K145" s="7" t="str">
        <f aca="false">IF(B145="mass",COMPLEX(COSH(J145)*COS(J145),SINH(J145)*SIN(J145)),COMPLEX(1,0))</f>
        <v>0.925671349743335+0.664853161913343i</v>
      </c>
      <c r="L145" s="7" t="str">
        <f aca="false">IF(B145="mass",COMPLEX(-I145/(2*E145)*(SINH(J145)*COS(J145)+COSH(J145)*SIN(J145)),-I145/(2*E145)*(COSH(J145)*SIN(J145)-SINH(J145)*COS(J145))),COMPLEX(-H145,0))</f>
        <v>-0.130497374771535-0.0294407447988599i</v>
      </c>
      <c r="M145" s="7" t="str">
        <f aca="false">IF(B145="mass",COMPLEX(-E145/I145*(SINH(J145)*COS(J145)-COSH(J145)*SIN(J145)),-E145/I145*(SINH(J145)*COS(J145)+COSH(J145)*SIN(J145))),COMPLEX(0,0))</f>
        <v>2.24204617217389-9.93796663719564i</v>
      </c>
      <c r="N145" s="7" t="str">
        <f aca="false">K145</f>
        <v>0.925671349743335+0.664853161913343i</v>
      </c>
      <c r="O145" s="7" t="str">
        <f aca="false">IMSUM(IMPRODUCT(K145,O144),IMPRODUCT(L145,Q144))</f>
        <v>-3.8809291451333+2.64470254105747i</v>
      </c>
      <c r="P145" s="7" t="str">
        <f aca="false">IMSUM(IMPRODUCT(K145,P144),IMPRODUCT(L145,R144))</f>
        <v>-0.665248381765339-5.24606276222569i</v>
      </c>
      <c r="Q145" s="7" t="str">
        <f aca="false">IMSUM(IMPRODUCT(M145,O144),IMPRODUCT(N145,Q144))</f>
        <v>37.4016982414148+20.2235522431581i</v>
      </c>
      <c r="R145" s="7" t="str">
        <f aca="false">IMSUM(IMPRODUCT(M145,P144),IMPRODUCT(N145,R144))</f>
        <v>-39.6065143132754+27.0342201110306i</v>
      </c>
      <c r="S145" s="10" t="n">
        <f aca="false">IF(B145="mass",D145/E145,H145)</f>
        <v>0.132467532467532</v>
      </c>
      <c r="T145" s="12" t="n">
        <f aca="false">IF(B145="mass",F145*G145*D145,0)</f>
        <v>138720</v>
      </c>
    </row>
    <row r="146" customFormat="false" ht="15" hidden="false" customHeight="false" outlineLevel="0" collapsed="false">
      <c r="A146" s="7" t="s">
        <v>48</v>
      </c>
      <c r="B146" s="7" t="str">
        <f aca="false">IF(C146="","none",IF(C146="Cavity","res","mass"))</f>
        <v>none</v>
      </c>
      <c r="C146" s="7" t="str">
        <f aca="false">IF(INDEX(Library!$Q$5:$Q$34,$U$138)="","",INDEX(Library!$Q$5:$Q$34,$U$138))</f>
        <v/>
      </c>
      <c r="D146" s="11" t="n">
        <f aca="false">IF(B146="mass",INDEX(Library!$R$5:$R$34,$U$138)/1000,0)</f>
        <v>0</v>
      </c>
      <c r="E146" s="7" t="n">
        <f aca="false">IF(B146="mass",INDEX(Materials!$B$5:$B$28,MATCH(C146,Materials!$A$5:$A$28,0)),0)</f>
        <v>0</v>
      </c>
      <c r="F146" s="7" t="n">
        <f aca="false">IF(B146="mass",INDEX(Materials!$C$5:$C$28,MATCH(C146,Materials!$A$5:$A$28,0)),0)</f>
        <v>0</v>
      </c>
      <c r="G146" s="7" t="n">
        <f aca="false">IF(B146="mass",INDEX(Materials!$D$5:$D$28,MATCH(C146,Materials!$A$5:$A$28,0)),0)</f>
        <v>0</v>
      </c>
      <c r="H146" s="10" t="n">
        <f aca="false">IF(B146="res",INDEX(Library!$R$5:$R$34,$U$138),0)</f>
        <v>0</v>
      </c>
      <c r="I146" s="11" t="n">
        <f aca="false">IF(B146="mass",SQRT(E146*($B$2*3600)/(PI()*F146*G146)),0)</f>
        <v>0</v>
      </c>
      <c r="J146" s="10" t="n">
        <f aca="false">IF(B146="mass",D146/I146,0)</f>
        <v>0</v>
      </c>
      <c r="K146" s="7" t="str">
        <f aca="false">IF(B146="mass",COMPLEX(COSH(J146)*COS(J146),SINH(J146)*SIN(J146)),COMPLEX(1,0))</f>
        <v>1</v>
      </c>
      <c r="L146" s="7" t="str">
        <f aca="false">IF(B146="mass",COMPLEX(-I146/(2*E146)*(SINH(J146)*COS(J146)+COSH(J146)*SIN(J146)),-I146/(2*E146)*(COSH(J146)*SIN(J146)-SINH(J146)*COS(J146))),COMPLEX(-H146,0))</f>
        <v>-0</v>
      </c>
      <c r="M146" s="7" t="str">
        <f aca="false">IF(B146="mass",COMPLEX(-E146/I146*(SINH(J146)*COS(J146)-COSH(J146)*SIN(J146)),-E146/I146*(SINH(J146)*COS(J146)+COSH(J146)*SIN(J146))),COMPLEX(0,0))</f>
        <v>0</v>
      </c>
      <c r="N146" s="7" t="str">
        <f aca="false">K146</f>
        <v>1</v>
      </c>
      <c r="O146" s="7" t="str">
        <f aca="false">IMSUM(IMPRODUCT(K146,O145),IMPRODUCT(L146,Q145))</f>
        <v>-3.8809291451333+2.64470254105747i</v>
      </c>
      <c r="P146" s="7" t="str">
        <f aca="false">IMSUM(IMPRODUCT(K146,P145),IMPRODUCT(L146,R145))</f>
        <v>-0.665248381765339-5.24606276222569i</v>
      </c>
      <c r="Q146" s="7" t="str">
        <f aca="false">IMSUM(IMPRODUCT(M146,O145),IMPRODUCT(N146,Q145))</f>
        <v>37.4016982414148+20.2235522431581i</v>
      </c>
      <c r="R146" s="7" t="str">
        <f aca="false">IMSUM(IMPRODUCT(M146,P145),IMPRODUCT(N146,R145))</f>
        <v>-39.6065143132754+27.0342201110306i</v>
      </c>
      <c r="S146" s="10" t="n">
        <f aca="false">IF(B146="mass",D146/E146,H146)</f>
        <v>0</v>
      </c>
      <c r="T146" s="12" t="n">
        <f aca="false">IF(B146="mass",F146*G146*D146,0)</f>
        <v>0</v>
      </c>
    </row>
    <row r="147" customFormat="false" ht="15" hidden="false" customHeight="false" outlineLevel="0" collapsed="false">
      <c r="A147" s="7" t="s">
        <v>49</v>
      </c>
      <c r="B147" s="7" t="str">
        <f aca="false">IF(C147="","none",IF(C147="Cavity","res","mass"))</f>
        <v>none</v>
      </c>
      <c r="C147" s="7" t="str">
        <f aca="false">IF(INDEX(Library!$S$5:$S$34,$U$138)="","",INDEX(Library!$S$5:$S$34,$U$138))</f>
        <v/>
      </c>
      <c r="D147" s="11" t="n">
        <f aca="false">IF(B147="mass",INDEX(Library!$T$5:$T$34,$U$138)/1000,0)</f>
        <v>0</v>
      </c>
      <c r="E147" s="7" t="n">
        <f aca="false">IF(B147="mass",INDEX(Materials!$B$5:$B$28,MATCH(C147,Materials!$A$5:$A$28,0)),0)</f>
        <v>0</v>
      </c>
      <c r="F147" s="7" t="n">
        <f aca="false">IF(B147="mass",INDEX(Materials!$C$5:$C$28,MATCH(C147,Materials!$A$5:$A$28,0)),0)</f>
        <v>0</v>
      </c>
      <c r="G147" s="7" t="n">
        <f aca="false">IF(B147="mass",INDEX(Materials!$D$5:$D$28,MATCH(C147,Materials!$A$5:$A$28,0)),0)</f>
        <v>0</v>
      </c>
      <c r="H147" s="10" t="n">
        <f aca="false">IF(B147="res",INDEX(Library!$T$5:$T$34,$U$138),0)</f>
        <v>0</v>
      </c>
      <c r="I147" s="11" t="n">
        <f aca="false">IF(B147="mass",SQRT(E147*($B$2*3600)/(PI()*F147*G147)),0)</f>
        <v>0</v>
      </c>
      <c r="J147" s="10" t="n">
        <f aca="false">IF(B147="mass",D147/I147,0)</f>
        <v>0</v>
      </c>
      <c r="K147" s="7" t="str">
        <f aca="false">IF(B147="mass",COMPLEX(COSH(J147)*COS(J147),SINH(J147)*SIN(J147)),COMPLEX(1,0))</f>
        <v>1</v>
      </c>
      <c r="L147" s="7" t="str">
        <f aca="false">IF(B147="mass",COMPLEX(-I147/(2*E147)*(SINH(J147)*COS(J147)+COSH(J147)*SIN(J147)),-I147/(2*E147)*(COSH(J147)*SIN(J147)-SINH(J147)*COS(J147))),COMPLEX(-H147,0))</f>
        <v>-0</v>
      </c>
      <c r="M147" s="7" t="str">
        <f aca="false">IF(B147="mass",COMPLEX(-E147/I147*(SINH(J147)*COS(J147)-COSH(J147)*SIN(J147)),-E147/I147*(SINH(J147)*COS(J147)+COSH(J147)*SIN(J147))),COMPLEX(0,0))</f>
        <v>0</v>
      </c>
      <c r="N147" s="7" t="str">
        <f aca="false">K147</f>
        <v>1</v>
      </c>
      <c r="O147" s="7" t="str">
        <f aca="false">IMSUM(IMPRODUCT(K147,O146),IMPRODUCT(L147,Q146))</f>
        <v>-3.8809291451333+2.64470254105747i</v>
      </c>
      <c r="P147" s="7" t="str">
        <f aca="false">IMSUM(IMPRODUCT(K147,P146),IMPRODUCT(L147,R146))</f>
        <v>-0.665248381765339-5.24606276222569i</v>
      </c>
      <c r="Q147" s="7" t="str">
        <f aca="false">IMSUM(IMPRODUCT(M147,O146),IMPRODUCT(N147,Q146))</f>
        <v>37.4016982414148+20.2235522431581i</v>
      </c>
      <c r="R147" s="7" t="str">
        <f aca="false">IMSUM(IMPRODUCT(M147,P146),IMPRODUCT(N147,R146))</f>
        <v>-39.6065143132754+27.0342201110306i</v>
      </c>
      <c r="S147" s="10" t="n">
        <f aca="false">IF(B147="mass",D147/E147,H147)</f>
        <v>0</v>
      </c>
      <c r="T147" s="12" t="n">
        <f aca="false">IF(B147="mass",F147*G147*D147,0)</f>
        <v>0</v>
      </c>
    </row>
    <row r="148" customFormat="false" ht="15" hidden="false" customHeight="false" outlineLevel="0" collapsed="false">
      <c r="A148" s="7" t="s">
        <v>50</v>
      </c>
      <c r="B148" s="7" t="str">
        <f aca="false">IF(C148="","none",IF(C148="Cavity","res","mass"))</f>
        <v>none</v>
      </c>
      <c r="C148" s="7" t="str">
        <f aca="false">IF(INDEX(Library!$U$5:$U$34,$U$138)="","",INDEX(Library!$U$5:$U$34,$U$138))</f>
        <v/>
      </c>
      <c r="D148" s="11" t="n">
        <f aca="false">IF(B148="mass",INDEX(Library!$V$5:$V$34,$U$138)/1000,0)</f>
        <v>0</v>
      </c>
      <c r="E148" s="7" t="n">
        <f aca="false">IF(B148="mass",INDEX(Materials!$B$5:$B$28,MATCH(C148,Materials!$A$5:$A$28,0)),0)</f>
        <v>0</v>
      </c>
      <c r="F148" s="7" t="n">
        <f aca="false">IF(B148="mass",INDEX(Materials!$C$5:$C$28,MATCH(C148,Materials!$A$5:$A$28,0)),0)</f>
        <v>0</v>
      </c>
      <c r="G148" s="7" t="n">
        <f aca="false">IF(B148="mass",INDEX(Materials!$D$5:$D$28,MATCH(C148,Materials!$A$5:$A$28,0)),0)</f>
        <v>0</v>
      </c>
      <c r="H148" s="10" t="n">
        <f aca="false">IF(B148="res",INDEX(Library!$V$5:$V$34,$U$138),0)</f>
        <v>0</v>
      </c>
      <c r="I148" s="11" t="n">
        <f aca="false">IF(B148="mass",SQRT(E148*($B$2*3600)/(PI()*F148*G148)),0)</f>
        <v>0</v>
      </c>
      <c r="J148" s="10" t="n">
        <f aca="false">IF(B148="mass",D148/I148,0)</f>
        <v>0</v>
      </c>
      <c r="K148" s="7" t="str">
        <f aca="false">IF(B148="mass",COMPLEX(COSH(J148)*COS(J148),SINH(J148)*SIN(J148)),COMPLEX(1,0))</f>
        <v>1</v>
      </c>
      <c r="L148" s="7" t="str">
        <f aca="false">IF(B148="mass",COMPLEX(-I148/(2*E148)*(SINH(J148)*COS(J148)+COSH(J148)*SIN(J148)),-I148/(2*E148)*(COSH(J148)*SIN(J148)-SINH(J148)*COS(J148))),COMPLEX(-H148,0))</f>
        <v>-0</v>
      </c>
      <c r="M148" s="7" t="str">
        <f aca="false">IF(B148="mass",COMPLEX(-E148/I148*(SINH(J148)*COS(J148)-COSH(J148)*SIN(J148)),-E148/I148*(SINH(J148)*COS(J148)+COSH(J148)*SIN(J148))),COMPLEX(0,0))</f>
        <v>0</v>
      </c>
      <c r="N148" s="7" t="str">
        <f aca="false">K148</f>
        <v>1</v>
      </c>
      <c r="O148" s="7" t="str">
        <f aca="false">IMSUM(IMPRODUCT(K148,O147),IMPRODUCT(L148,Q147))</f>
        <v>-3.8809291451333+2.64470254105747i</v>
      </c>
      <c r="P148" s="7" t="str">
        <f aca="false">IMSUM(IMPRODUCT(K148,P147),IMPRODUCT(L148,R147))</f>
        <v>-0.665248381765339-5.24606276222569i</v>
      </c>
      <c r="Q148" s="7" t="str">
        <f aca="false">IMSUM(IMPRODUCT(M148,O147),IMPRODUCT(N148,Q147))</f>
        <v>37.4016982414148+20.2235522431581i</v>
      </c>
      <c r="R148" s="7" t="str">
        <f aca="false">IMSUM(IMPRODUCT(M148,P147),IMPRODUCT(N148,R147))</f>
        <v>-39.6065143132754+27.0342201110306i</v>
      </c>
      <c r="S148" s="10" t="n">
        <f aca="false">IF(B148="mass",D148/E148,H148)</f>
        <v>0</v>
      </c>
      <c r="T148" s="12" t="n">
        <f aca="false">IF(B148="mass",F148*G148*D148,0)</f>
        <v>0</v>
      </c>
    </row>
    <row r="149" customFormat="false" ht="15" hidden="false" customHeight="false" outlineLevel="0" collapsed="false">
      <c r="A149" s="7" t="s">
        <v>51</v>
      </c>
      <c r="B149" s="7" t="str">
        <f aca="false">IF($W$138="ground","mass",IF($W$138="adiabatic","res","none"))</f>
        <v>none</v>
      </c>
      <c r="C149" s="7" t="str">
        <f aca="false">IF($W$138="ground","clay soil","")</f>
        <v/>
      </c>
      <c r="D149" s="11" t="n">
        <f aca="false">IF(B149="mass",1,0)</f>
        <v>0</v>
      </c>
      <c r="E149" s="7" t="n">
        <f aca="false">IF(B149="mass",INDEX(Materials!$B$5:$B$28,MATCH(C149,Materials!$A$5:$A$28,0)),0)</f>
        <v>0</v>
      </c>
      <c r="F149" s="7" t="n">
        <f aca="false">IF(B149="mass",INDEX(Materials!$C$5:$C$28,MATCH(C149,Materials!$A$5:$A$28,0)),0)</f>
        <v>0</v>
      </c>
      <c r="G149" s="7" t="n">
        <f aca="false">IF(B149="mass",INDEX(Materials!$D$5:$D$28,MATCH(C149,Materials!$A$5:$A$28,0)),0)</f>
        <v>0</v>
      </c>
      <c r="H149" s="12" t="n">
        <f aca="false">IF(B149="res",1000000,0)</f>
        <v>0</v>
      </c>
      <c r="I149" s="11" t="n">
        <f aca="false">IF(B149="mass",SQRT(E149*($B$2*3600)/(PI()*F149*G149)),0)</f>
        <v>0</v>
      </c>
      <c r="J149" s="10" t="n">
        <f aca="false">IF(B149="mass",D149/I149,0)</f>
        <v>0</v>
      </c>
      <c r="K149" s="7" t="str">
        <f aca="false">IF(B149="mass",COMPLEX(COSH(J149)*COS(J149),SINH(J149)*SIN(J149)),COMPLEX(1,0))</f>
        <v>1</v>
      </c>
      <c r="L149" s="7" t="str">
        <f aca="false">IF(B149="mass",COMPLEX(-I149/(2*E149)*(SINH(J149)*COS(J149)+COSH(J149)*SIN(J149)),-I149/(2*E149)*(COSH(J149)*SIN(J149)-SINH(J149)*COS(J149))),COMPLEX(-H149,0))</f>
        <v>-0</v>
      </c>
      <c r="M149" s="7" t="str">
        <f aca="false">IF(B149="mass",COMPLEX(-E149/I149*(SINH(J149)*COS(J149)-COSH(J149)*SIN(J149)),-E149/I149*(SINH(J149)*COS(J149)+COSH(J149)*SIN(J149))),COMPLEX(0,0))</f>
        <v>0</v>
      </c>
      <c r="N149" s="7" t="str">
        <f aca="false">K149</f>
        <v>1</v>
      </c>
      <c r="O149" s="7" t="str">
        <f aca="false">IMSUM(IMPRODUCT(K149,O148),IMPRODUCT(L149,Q148))</f>
        <v>-3.8809291451333+2.64470254105747i</v>
      </c>
      <c r="P149" s="7" t="str">
        <f aca="false">IMSUM(IMPRODUCT(K149,P148),IMPRODUCT(L149,R148))</f>
        <v>-0.665248381765339-5.24606276222569i</v>
      </c>
      <c r="Q149" s="7" t="str">
        <f aca="false">IMSUM(IMPRODUCT(M149,O148),IMPRODUCT(N149,Q148))</f>
        <v>37.4016982414148+20.2235522431581i</v>
      </c>
      <c r="R149" s="7" t="str">
        <f aca="false">IMSUM(IMPRODUCT(M149,P148),IMPRODUCT(N149,R148))</f>
        <v>-39.6065143132754+27.0342201110306i</v>
      </c>
      <c r="S149" s="10" t="n">
        <f aca="false">IF(B149="mass",D149/E149,H149)</f>
        <v>0</v>
      </c>
      <c r="T149" s="12" t="n">
        <f aca="false">IF(B149="mass",F149*G149*D149,0)</f>
        <v>0</v>
      </c>
    </row>
    <row r="150" customFormat="false" ht="15" hidden="false" customHeight="false" outlineLevel="0" collapsed="false">
      <c r="A150" s="7" t="s">
        <v>52</v>
      </c>
      <c r="B150" s="7" t="s">
        <v>42</v>
      </c>
      <c r="H150" s="10" t="n">
        <f aca="false">IF($W$138="ext",0.04,IF($W$138="room",$Y$138,0))</f>
        <v>0.04</v>
      </c>
      <c r="I150" s="11" t="n">
        <f aca="false">IF(B150="mass",SQRT(E150*($B$2*3600)/(PI()*F150*G150)),0)</f>
        <v>0</v>
      </c>
      <c r="J150" s="10" t="n">
        <f aca="false">IF(B150="mass",D150/I150,0)</f>
        <v>0</v>
      </c>
      <c r="K150" s="7" t="str">
        <f aca="false">IF(B150="mass",COMPLEX(COSH(J150)*COS(J150),SINH(J150)*SIN(J150)),COMPLEX(1,0))</f>
        <v>1</v>
      </c>
      <c r="L150" s="7" t="str">
        <f aca="false">IF(B150="mass",COMPLEX(-I150/(2*E150)*(SINH(J150)*COS(J150)+COSH(J150)*SIN(J150)),-I150/(2*E150)*(COSH(J150)*SIN(J150)-SINH(J150)*COS(J150))),COMPLEX(-H150,0))</f>
        <v>-0.04</v>
      </c>
      <c r="M150" s="7" t="str">
        <f aca="false">IF(B150="mass",COMPLEX(-E150/I150*(SINH(J150)*COS(J150)-COSH(J150)*SIN(J150)),-E150/I150*(SINH(J150)*COS(J150)+COSH(J150)*SIN(J150))),COMPLEX(0,0))</f>
        <v>0</v>
      </c>
      <c r="N150" s="7" t="str">
        <f aca="false">K150</f>
        <v>1</v>
      </c>
      <c r="O150" s="7" t="str">
        <f aca="false">IMSUM(IMPRODUCT(K150,O149),IMPRODUCT(L150,Q149))</f>
        <v>-5.37699707478989+1.83576045133115i</v>
      </c>
      <c r="P150" s="7" t="str">
        <f aca="false">IMSUM(IMPRODUCT(K150,P149),IMPRODUCT(L150,R149))</f>
        <v>0.919012190765681-6.32743156666691i</v>
      </c>
      <c r="Q150" s="7" t="str">
        <f aca="false">IMSUM(IMPRODUCT(M150,O149),IMPRODUCT(N150,Q149))</f>
        <v>37.4016982414148+20.2235522431581i</v>
      </c>
      <c r="R150" s="7" t="str">
        <f aca="false">IMSUM(IMPRODUCT(M150,P149),IMPRODUCT(N150,R149))</f>
        <v>-39.6065143132754+27.0342201110306i</v>
      </c>
      <c r="S150" s="10" t="n">
        <f aca="false">IF(B150="mass",D150/E150,H150)</f>
        <v>0.04</v>
      </c>
      <c r="T150" s="12" t="n">
        <f aca="false">IF(B150="mass",F150*G150*D150,0)</f>
        <v>0</v>
      </c>
    </row>
    <row r="151" customFormat="false" ht="15" hidden="false" customHeight="false" outlineLevel="0" collapsed="false">
      <c r="A151" s="9" t="s">
        <v>53</v>
      </c>
      <c r="B151" s="13" t="n">
        <f aca="false">IF(OR($W$138="ext",$W$138="ground"),1/SUM(S140:S150),"–")</f>
        <v>0.243236675846428</v>
      </c>
      <c r="C151" s="9" t="s">
        <v>54</v>
      </c>
      <c r="D151" s="13" t="n">
        <f aca="false">IMABS(IMDIV(IMPRODUCT(O150,COMPLEX(-1,0)),P150))</f>
        <v>0.888628766399237</v>
      </c>
      <c r="E151" s="9" t="s">
        <v>55</v>
      </c>
      <c r="F151" s="14" t="n">
        <f aca="false">IMARGUMENT(IMDIV(IMPRODUCT(O150,COMPLEX(-1,0)),P150))*$B$2/(2*PI())</f>
        <v>4.19237243539884</v>
      </c>
      <c r="G151" s="9" t="s">
        <v>56</v>
      </c>
      <c r="H151" s="13" t="n">
        <f aca="false">IF($W$138="ext",IMABS(IMDIV(COMPLEX(-1,0),P150))*SUM(S140:S150),"–")</f>
        <v>0.642999040918244</v>
      </c>
      <c r="I151" s="9" t="s">
        <v>57</v>
      </c>
      <c r="J151" s="14" t="n">
        <f aca="false">IF($W$138="ext",MOD(-IMARGUMENT(IMDIV(COMPLEX(-1,0),P150))*$B$2/(2*PI()),24),"–")</f>
        <v>6.55093311673457</v>
      </c>
      <c r="K151" s="9" t="s">
        <v>58</v>
      </c>
      <c r="L151" s="15" t="n">
        <f aca="false">($B$2*3600)/(2*PI())*IMABS(IMDIV(IMSUB(O150,COMPLEX(1,0)),P150))/1000</f>
        <v>14.2717662348645</v>
      </c>
      <c r="M151" s="9" t="s">
        <v>59</v>
      </c>
      <c r="N151" s="15" t="n">
        <f aca="false">SUM(T141:T148)/1000</f>
        <v>167.495</v>
      </c>
      <c r="O151" s="9" t="s">
        <v>60</v>
      </c>
      <c r="P151" s="16" t="n">
        <f aca="false">SUM(S141:S148)</f>
        <v>3.94122211122211</v>
      </c>
    </row>
    <row r="153" customFormat="false" ht="15" hidden="false" customHeight="false" outlineLevel="0" collapsed="false">
      <c r="A153" s="4" t="s">
        <v>86</v>
      </c>
    </row>
    <row r="154" customFormat="false" ht="15" hidden="false" customHeight="false" outlineLevel="0" collapsed="false">
      <c r="A154" s="9"/>
      <c r="B154" s="9" t="s">
        <v>62</v>
      </c>
      <c r="C154" s="9" t="s">
        <v>63</v>
      </c>
      <c r="D154" s="9"/>
      <c r="E154" s="9"/>
      <c r="F154" s="9"/>
      <c r="G154" s="9"/>
      <c r="H154" s="9"/>
      <c r="I154" s="9"/>
      <c r="J154" s="9"/>
      <c r="K154" s="9" t="s">
        <v>32</v>
      </c>
      <c r="L154" s="9" t="s">
        <v>33</v>
      </c>
      <c r="M154" s="9" t="s">
        <v>34</v>
      </c>
      <c r="N154" s="9" t="s">
        <v>35</v>
      </c>
      <c r="O154" s="9" t="s">
        <v>36</v>
      </c>
      <c r="P154" s="9" t="s">
        <v>37</v>
      </c>
      <c r="Q154" s="9" t="s">
        <v>38</v>
      </c>
      <c r="R154" s="9" t="s">
        <v>39</v>
      </c>
    </row>
    <row r="155" customFormat="false" ht="15" hidden="false" customHeight="false" outlineLevel="0" collapsed="false">
      <c r="A155" s="7" t="s">
        <v>22</v>
      </c>
      <c r="B155" s="7" t="s">
        <v>42</v>
      </c>
      <c r="C155" s="10" t="n">
        <f aca="false">$Y$138</f>
        <v>0.13</v>
      </c>
      <c r="K155" s="7" t="str">
        <f aca="false">COMPLEX(1,0)</f>
        <v>1</v>
      </c>
      <c r="L155" s="7" t="str">
        <f aca="false">COMPLEX(-C155,0)</f>
        <v>-0.13</v>
      </c>
      <c r="M155" s="7" t="str">
        <f aca="false">COMPLEX(0,0)</f>
        <v>0</v>
      </c>
      <c r="N155" s="7" t="str">
        <f aca="false">COMPLEX(1,0)</f>
        <v>1</v>
      </c>
      <c r="O155" s="7" t="str">
        <f aca="false">K155</f>
        <v>1</v>
      </c>
      <c r="P155" s="7" t="str">
        <f aca="false">L155</f>
        <v>-0.13</v>
      </c>
      <c r="Q155" s="7" t="str">
        <f aca="false">M155</f>
        <v>0</v>
      </c>
      <c r="R155" s="7" t="str">
        <f aca="false">N155</f>
        <v>1</v>
      </c>
    </row>
    <row r="156" customFormat="false" ht="15" hidden="false" customHeight="false" outlineLevel="0" collapsed="false">
      <c r="A156" s="7" t="s">
        <v>64</v>
      </c>
      <c r="B156" s="7" t="s">
        <v>65</v>
      </c>
      <c r="C156" s="10" t="n">
        <f aca="false">INDEX(Classes!$B$5:$F$9,MATCH(Engine!$C$137,Classes!$A$5:$A$9,0),5)*(N151*1000)</f>
        <v>0</v>
      </c>
      <c r="K156" s="7" t="str">
        <f aca="false">COMPLEX(1,0)</f>
        <v>1</v>
      </c>
      <c r="L156" s="7" t="str">
        <f aca="false">COMPLEX(0,0)</f>
        <v>0</v>
      </c>
      <c r="M156" s="7" t="str">
        <f aca="false">COMPLEX(0,-(2*PI()/($B$2*3600))*C156)</f>
        <v>0</v>
      </c>
      <c r="N156" s="7" t="str">
        <f aca="false">COMPLEX(1,0)</f>
        <v>1</v>
      </c>
      <c r="O156" s="7" t="str">
        <f aca="false">IMSUM(IMPRODUCT(K156,O155),IMPRODUCT(L156,Q155))</f>
        <v>1</v>
      </c>
      <c r="P156" s="7" t="str">
        <f aca="false">IMSUM(IMPRODUCT(K156,P155),IMPRODUCT(L156,R155))</f>
        <v>-0.13</v>
      </c>
      <c r="Q156" s="7" t="str">
        <f aca="false">IMSUM(IMPRODUCT(M156,O155),IMPRODUCT(N156,Q155))</f>
        <v>0</v>
      </c>
      <c r="R156" s="7" t="str">
        <f aca="false">IMSUM(IMPRODUCT(M156,P155),IMPRODUCT(N156,R155))</f>
        <v>1</v>
      </c>
    </row>
    <row r="157" customFormat="false" ht="15" hidden="false" customHeight="false" outlineLevel="0" collapsed="false">
      <c r="A157" s="7" t="s">
        <v>66</v>
      </c>
      <c r="B157" s="7" t="s">
        <v>42</v>
      </c>
      <c r="C157" s="10" t="n">
        <f aca="false">P151/6</f>
        <v>0.656870351870352</v>
      </c>
      <c r="K157" s="7" t="str">
        <f aca="false">COMPLEX(1,0)</f>
        <v>1</v>
      </c>
      <c r="L157" s="7" t="str">
        <f aca="false">COMPLEX(-C157,0)</f>
        <v>-0.656870351870352</v>
      </c>
      <c r="M157" s="7" t="str">
        <f aca="false">COMPLEX(0,0)</f>
        <v>0</v>
      </c>
      <c r="N157" s="7" t="str">
        <f aca="false">COMPLEX(1,0)</f>
        <v>1</v>
      </c>
      <c r="O157" s="7" t="str">
        <f aca="false">IMSUM(IMPRODUCT(K157,O156),IMPRODUCT(L157,Q156))</f>
        <v>1</v>
      </c>
      <c r="P157" s="7" t="str">
        <f aca="false">IMSUM(IMPRODUCT(K157,P156),IMPRODUCT(L157,R156))</f>
        <v>-0.786870351870352</v>
      </c>
      <c r="Q157" s="7" t="str">
        <f aca="false">IMSUM(IMPRODUCT(M157,O156),IMPRODUCT(N157,Q156))</f>
        <v>0</v>
      </c>
      <c r="R157" s="7" t="str">
        <f aca="false">IMSUM(IMPRODUCT(M157,P156),IMPRODUCT(N157,R156))</f>
        <v>1</v>
      </c>
    </row>
    <row r="158" customFormat="false" ht="15" hidden="false" customHeight="false" outlineLevel="0" collapsed="false">
      <c r="A158" s="7" t="s">
        <v>67</v>
      </c>
      <c r="B158" s="7" t="s">
        <v>65</v>
      </c>
      <c r="C158" s="10" t="n">
        <f aca="false">INDEX(Classes!$B$5:$F$9,MATCH(Engine!$C$137,Classes!$A$5:$A$9,0),4)*(N151*1000)</f>
        <v>0</v>
      </c>
      <c r="K158" s="7" t="str">
        <f aca="false">COMPLEX(1,0)</f>
        <v>1</v>
      </c>
      <c r="L158" s="7" t="str">
        <f aca="false">COMPLEX(0,0)</f>
        <v>0</v>
      </c>
      <c r="M158" s="7" t="str">
        <f aca="false">COMPLEX(0,-(2*PI()/($B$2*3600))*C158)</f>
        <v>0</v>
      </c>
      <c r="N158" s="7" t="str">
        <f aca="false">COMPLEX(1,0)</f>
        <v>1</v>
      </c>
      <c r="O158" s="7" t="str">
        <f aca="false">IMSUM(IMPRODUCT(K158,O157),IMPRODUCT(L158,Q157))</f>
        <v>1</v>
      </c>
      <c r="P158" s="7" t="str">
        <f aca="false">IMSUM(IMPRODUCT(K158,P157),IMPRODUCT(L158,R157))</f>
        <v>-0.786870351870352</v>
      </c>
      <c r="Q158" s="7" t="str">
        <f aca="false">IMSUM(IMPRODUCT(M158,O157),IMPRODUCT(N158,Q157))</f>
        <v>0</v>
      </c>
      <c r="R158" s="7" t="str">
        <f aca="false">IMSUM(IMPRODUCT(M158,P157),IMPRODUCT(N158,R157))</f>
        <v>1</v>
      </c>
    </row>
    <row r="159" customFormat="false" ht="15" hidden="false" customHeight="false" outlineLevel="0" collapsed="false">
      <c r="A159" s="7" t="s">
        <v>68</v>
      </c>
      <c r="B159" s="7" t="s">
        <v>42</v>
      </c>
      <c r="C159" s="10" t="n">
        <f aca="false">P151/3</f>
        <v>1.3137407037407</v>
      </c>
      <c r="K159" s="7" t="str">
        <f aca="false">COMPLEX(1,0)</f>
        <v>1</v>
      </c>
      <c r="L159" s="7" t="str">
        <f aca="false">COMPLEX(-C159,0)</f>
        <v>-1.3137407037407</v>
      </c>
      <c r="M159" s="7" t="str">
        <f aca="false">COMPLEX(0,0)</f>
        <v>0</v>
      </c>
      <c r="N159" s="7" t="str">
        <f aca="false">COMPLEX(1,0)</f>
        <v>1</v>
      </c>
      <c r="O159" s="7" t="str">
        <f aca="false">IMSUM(IMPRODUCT(K159,O158),IMPRODUCT(L159,Q158))</f>
        <v>1</v>
      </c>
      <c r="P159" s="7" t="str">
        <f aca="false">IMSUM(IMPRODUCT(K159,P158),IMPRODUCT(L159,R158))</f>
        <v>-2.10061105561105</v>
      </c>
      <c r="Q159" s="7" t="str">
        <f aca="false">IMSUM(IMPRODUCT(M159,O158),IMPRODUCT(N159,Q158))</f>
        <v>0</v>
      </c>
      <c r="R159" s="7" t="str">
        <f aca="false">IMSUM(IMPRODUCT(M159,P158),IMPRODUCT(N159,R158))</f>
        <v>1</v>
      </c>
    </row>
    <row r="160" customFormat="false" ht="15" hidden="false" customHeight="false" outlineLevel="0" collapsed="false">
      <c r="A160" s="7" t="s">
        <v>69</v>
      </c>
      <c r="B160" s="7" t="s">
        <v>65</v>
      </c>
      <c r="C160" s="10" t="n">
        <f aca="false">INDEX(Classes!$B$5:$F$9,MATCH(Engine!$C$137,Classes!$A$5:$A$9,0),3)*(N151*1000)</f>
        <v>0</v>
      </c>
      <c r="K160" s="7" t="str">
        <f aca="false">COMPLEX(1,0)</f>
        <v>1</v>
      </c>
      <c r="L160" s="7" t="str">
        <f aca="false">COMPLEX(0,0)</f>
        <v>0</v>
      </c>
      <c r="M160" s="7" t="str">
        <f aca="false">COMPLEX(0,-(2*PI()/($B$2*3600))*C160)</f>
        <v>0</v>
      </c>
      <c r="N160" s="7" t="str">
        <f aca="false">COMPLEX(1,0)</f>
        <v>1</v>
      </c>
      <c r="O160" s="7" t="str">
        <f aca="false">IMSUM(IMPRODUCT(K160,O159),IMPRODUCT(L160,Q159))</f>
        <v>1</v>
      </c>
      <c r="P160" s="7" t="str">
        <f aca="false">IMSUM(IMPRODUCT(K160,P159),IMPRODUCT(L160,R159))</f>
        <v>-2.10061105561105</v>
      </c>
      <c r="Q160" s="7" t="str">
        <f aca="false">IMSUM(IMPRODUCT(M160,O159),IMPRODUCT(N160,Q159))</f>
        <v>0</v>
      </c>
      <c r="R160" s="7" t="str">
        <f aca="false">IMSUM(IMPRODUCT(M160,P159),IMPRODUCT(N160,R159))</f>
        <v>1</v>
      </c>
    </row>
    <row r="161" customFormat="false" ht="15" hidden="false" customHeight="false" outlineLevel="0" collapsed="false">
      <c r="A161" s="7" t="s">
        <v>68</v>
      </c>
      <c r="B161" s="7" t="s">
        <v>42</v>
      </c>
      <c r="C161" s="10" t="n">
        <f aca="false">P151/3</f>
        <v>1.3137407037407</v>
      </c>
      <c r="K161" s="7" t="str">
        <f aca="false">COMPLEX(1,0)</f>
        <v>1</v>
      </c>
      <c r="L161" s="7" t="str">
        <f aca="false">COMPLEX(-C161,0)</f>
        <v>-1.3137407037407</v>
      </c>
      <c r="M161" s="7" t="str">
        <f aca="false">COMPLEX(0,0)</f>
        <v>0</v>
      </c>
      <c r="N161" s="7" t="str">
        <f aca="false">COMPLEX(1,0)</f>
        <v>1</v>
      </c>
      <c r="O161" s="7" t="str">
        <f aca="false">IMSUM(IMPRODUCT(K161,O160),IMPRODUCT(L161,Q160))</f>
        <v>1</v>
      </c>
      <c r="P161" s="7" t="str">
        <f aca="false">IMSUM(IMPRODUCT(K161,P160),IMPRODUCT(L161,R160))</f>
        <v>-3.41435175935175</v>
      </c>
      <c r="Q161" s="7" t="str">
        <f aca="false">IMSUM(IMPRODUCT(M161,O160),IMPRODUCT(N161,Q160))</f>
        <v>0</v>
      </c>
      <c r="R161" s="7" t="str">
        <f aca="false">IMSUM(IMPRODUCT(M161,P160),IMPRODUCT(N161,R160))</f>
        <v>1</v>
      </c>
    </row>
    <row r="162" customFormat="false" ht="15" hidden="false" customHeight="false" outlineLevel="0" collapsed="false">
      <c r="A162" s="7" t="s">
        <v>70</v>
      </c>
      <c r="B162" s="7" t="s">
        <v>65</v>
      </c>
      <c r="C162" s="10" t="n">
        <f aca="false">INDEX(Classes!$B$5:$F$9,MATCH(Engine!$C$137,Classes!$A$5:$A$9,0),2)*(N151*1000)</f>
        <v>0</v>
      </c>
      <c r="K162" s="7" t="str">
        <f aca="false">COMPLEX(1,0)</f>
        <v>1</v>
      </c>
      <c r="L162" s="7" t="str">
        <f aca="false">COMPLEX(0,0)</f>
        <v>0</v>
      </c>
      <c r="M162" s="7" t="str">
        <f aca="false">COMPLEX(0,-(2*PI()/($B$2*3600))*C162)</f>
        <v>0</v>
      </c>
      <c r="N162" s="7" t="str">
        <f aca="false">COMPLEX(1,0)</f>
        <v>1</v>
      </c>
      <c r="O162" s="7" t="str">
        <f aca="false">IMSUM(IMPRODUCT(K162,O161),IMPRODUCT(L162,Q161))</f>
        <v>1</v>
      </c>
      <c r="P162" s="7" t="str">
        <f aca="false">IMSUM(IMPRODUCT(K162,P161),IMPRODUCT(L162,R161))</f>
        <v>-3.41435175935175</v>
      </c>
      <c r="Q162" s="7" t="str">
        <f aca="false">IMSUM(IMPRODUCT(M162,O161),IMPRODUCT(N162,Q161))</f>
        <v>0</v>
      </c>
      <c r="R162" s="7" t="str">
        <f aca="false">IMSUM(IMPRODUCT(M162,P161),IMPRODUCT(N162,R161))</f>
        <v>1</v>
      </c>
    </row>
    <row r="163" customFormat="false" ht="15" hidden="false" customHeight="false" outlineLevel="0" collapsed="false">
      <c r="A163" s="7" t="s">
        <v>66</v>
      </c>
      <c r="B163" s="7" t="s">
        <v>42</v>
      </c>
      <c r="C163" s="10" t="n">
        <f aca="false">P151/6</f>
        <v>0.656870351870352</v>
      </c>
      <c r="K163" s="7" t="str">
        <f aca="false">COMPLEX(1,0)</f>
        <v>1</v>
      </c>
      <c r="L163" s="7" t="str">
        <f aca="false">COMPLEX(-C163,0)</f>
        <v>-0.656870351870352</v>
      </c>
      <c r="M163" s="7" t="str">
        <f aca="false">COMPLEX(0,0)</f>
        <v>0</v>
      </c>
      <c r="N163" s="7" t="str">
        <f aca="false">COMPLEX(1,0)</f>
        <v>1</v>
      </c>
      <c r="O163" s="7" t="str">
        <f aca="false">IMSUM(IMPRODUCT(K163,O162),IMPRODUCT(L163,Q162))</f>
        <v>1</v>
      </c>
      <c r="P163" s="7" t="str">
        <f aca="false">IMSUM(IMPRODUCT(K163,P162),IMPRODUCT(L163,R162))</f>
        <v>-4.0712221112221</v>
      </c>
      <c r="Q163" s="7" t="str">
        <f aca="false">IMSUM(IMPRODUCT(M163,O162),IMPRODUCT(N163,Q162))</f>
        <v>0</v>
      </c>
      <c r="R163" s="7" t="str">
        <f aca="false">IMSUM(IMPRODUCT(M163,P162),IMPRODUCT(N163,R162))</f>
        <v>1</v>
      </c>
    </row>
    <row r="164" customFormat="false" ht="15" hidden="false" customHeight="false" outlineLevel="0" collapsed="false">
      <c r="A164" s="7" t="s">
        <v>71</v>
      </c>
      <c r="B164" s="7" t="s">
        <v>65</v>
      </c>
      <c r="C164" s="10" t="n">
        <f aca="false">INDEX(Classes!$B$5:$F$9,MATCH(Engine!$C$137,Classes!$A$5:$A$9,0),1)*(N151*1000)</f>
        <v>167495</v>
      </c>
      <c r="K164" s="7" t="str">
        <f aca="false">COMPLEX(1,0)</f>
        <v>1</v>
      </c>
      <c r="L164" s="7" t="str">
        <f aca="false">COMPLEX(0,0)</f>
        <v>0</v>
      </c>
      <c r="M164" s="7" t="str">
        <f aca="false">COMPLEX(0,-(2*PI()/($B$2*3600))*C164)</f>
        <v>-12.1805801276163i</v>
      </c>
      <c r="N164" s="7" t="str">
        <f aca="false">COMPLEX(1,0)</f>
        <v>1</v>
      </c>
      <c r="O164" s="7" t="str">
        <f aca="false">IMSUM(IMPRODUCT(K164,O163),IMPRODUCT(L164,Q163))</f>
        <v>1</v>
      </c>
      <c r="P164" s="7" t="str">
        <f aca="false">IMSUM(IMPRODUCT(K164,P163),IMPRODUCT(L164,R163))</f>
        <v>-4.0712221112221</v>
      </c>
      <c r="Q164" s="7" t="str">
        <f aca="false">IMSUM(IMPRODUCT(M164,O163),IMPRODUCT(N164,Q163))</f>
        <v>-12.1805801276163i</v>
      </c>
      <c r="R164" s="7" t="str">
        <f aca="false">IMSUM(IMPRODUCT(M164,P163),IMPRODUCT(N164,R163))</f>
        <v>1+49.589847143064i</v>
      </c>
    </row>
    <row r="165" customFormat="false" ht="15" hidden="false" customHeight="false" outlineLevel="0" collapsed="false">
      <c r="A165" s="7" t="s">
        <v>72</v>
      </c>
      <c r="B165" s="7" t="s">
        <v>73</v>
      </c>
      <c r="K165" s="7" t="str">
        <f aca="false">K149</f>
        <v>1</v>
      </c>
      <c r="L165" s="7" t="str">
        <f aca="false">L149</f>
        <v>-0</v>
      </c>
      <c r="M165" s="7" t="str">
        <f aca="false">M149</f>
        <v>0</v>
      </c>
      <c r="N165" s="7" t="str">
        <f aca="false">N149</f>
        <v>1</v>
      </c>
      <c r="O165" s="7" t="str">
        <f aca="false">IMSUM(IMPRODUCT(K165,O164),IMPRODUCT(L165,Q164))</f>
        <v>1</v>
      </c>
      <c r="P165" s="7" t="str">
        <f aca="false">IMSUM(IMPRODUCT(K165,P164),IMPRODUCT(L165,R164))</f>
        <v>-4.0712221112221</v>
      </c>
      <c r="Q165" s="7" t="str">
        <f aca="false">IMSUM(IMPRODUCT(M165,O164),IMPRODUCT(N165,Q164))</f>
        <v>-12.1805801276163i</v>
      </c>
      <c r="R165" s="7" t="str">
        <f aca="false">IMSUM(IMPRODUCT(M165,P164),IMPRODUCT(N165,R164))</f>
        <v>1+49.589847143064i</v>
      </c>
    </row>
    <row r="166" customFormat="false" ht="15" hidden="false" customHeight="false" outlineLevel="0" collapsed="false">
      <c r="A166" s="7" t="s">
        <v>52</v>
      </c>
      <c r="B166" s="7" t="s">
        <v>73</v>
      </c>
      <c r="K166" s="7" t="str">
        <f aca="false">K150</f>
        <v>1</v>
      </c>
      <c r="L166" s="7" t="str">
        <f aca="false">L150</f>
        <v>-0.04</v>
      </c>
      <c r="M166" s="7" t="str">
        <f aca="false">M150</f>
        <v>0</v>
      </c>
      <c r="N166" s="7" t="str">
        <f aca="false">N150</f>
        <v>1</v>
      </c>
      <c r="O166" s="7" t="str">
        <f aca="false">IMSUM(IMPRODUCT(K166,O165),IMPRODUCT(L166,Q165))</f>
        <v>1+0.487223205104652i</v>
      </c>
      <c r="P166" s="7" t="str">
        <f aca="false">IMSUM(IMPRODUCT(K166,P165),IMPRODUCT(L166,R165))</f>
        <v>-4.1112221112221-1.98359388572256i</v>
      </c>
      <c r="Q166" s="7" t="str">
        <f aca="false">IMSUM(IMPRODUCT(M166,O165),IMPRODUCT(N166,Q165))</f>
        <v>-12.1805801276163i</v>
      </c>
      <c r="R166" s="7" t="str">
        <f aca="false">IMSUM(IMPRODUCT(M166,P165),IMPRODUCT(N166,R165))</f>
        <v>1+49.589847143064i</v>
      </c>
    </row>
    <row r="167" customFormat="false" ht="15" hidden="false" customHeight="false" outlineLevel="0" collapsed="false">
      <c r="A167" s="9" t="s">
        <v>74</v>
      </c>
      <c r="B167" s="13" t="n">
        <f aca="false">IMABS(IMDIV(IMPRODUCT(O166,COMPLEX(-1,0)),P166))</f>
        <v>0.243689743334548</v>
      </c>
    </row>
    <row r="170" customFormat="false" ht="15" hidden="false" customHeight="false" outlineLevel="0" collapsed="false">
      <c r="A170" s="4" t="s">
        <v>87</v>
      </c>
      <c r="B170" s="9" t="s">
        <v>18</v>
      </c>
      <c r="C170" s="7" t="str">
        <f aca="false">INDEX(Library!$F$5:$F$34,MATCH(A170,Library!$A$5:$A$34,0))</f>
        <v>D</v>
      </c>
    </row>
    <row r="171" customFormat="false" ht="15" hidden="false" customHeight="false" outlineLevel="0" collapsed="false">
      <c r="A171" s="4" t="s">
        <v>88</v>
      </c>
      <c r="T171" s="9" t="s">
        <v>20</v>
      </c>
      <c r="U171" s="7" t="n">
        <f aca="false">MATCH($A$170,Library!$A$5:$A$34,0)</f>
        <v>6</v>
      </c>
      <c r="V171" s="9" t="s">
        <v>21</v>
      </c>
      <c r="W171" s="7" t="str">
        <f aca="false">INDEX(Library!$D$5:$D$34,$U$171)</f>
        <v>ext</v>
      </c>
      <c r="X171" s="9" t="s">
        <v>22</v>
      </c>
      <c r="Y171" s="7" t="n">
        <f aca="false">INDEX(Library!$E$5:$E$34,$U$171)</f>
        <v>0.13</v>
      </c>
    </row>
    <row r="172" customFormat="false" ht="15" hidden="false" customHeight="false" outlineLevel="0" collapsed="false">
      <c r="A172" s="9"/>
      <c r="B172" s="9" t="s">
        <v>23</v>
      </c>
      <c r="C172" s="9" t="s">
        <v>24</v>
      </c>
      <c r="D172" s="9" t="s">
        <v>25</v>
      </c>
      <c r="E172" s="9" t="s">
        <v>26</v>
      </c>
      <c r="F172" s="9" t="s">
        <v>27</v>
      </c>
      <c r="G172" s="9" t="s">
        <v>28</v>
      </c>
      <c r="H172" s="9" t="s">
        <v>29</v>
      </c>
      <c r="I172" s="9" t="s">
        <v>30</v>
      </c>
      <c r="J172" s="9" t="s">
        <v>31</v>
      </c>
      <c r="K172" s="9" t="s">
        <v>32</v>
      </c>
      <c r="L172" s="9" t="s">
        <v>33</v>
      </c>
      <c r="M172" s="9" t="s">
        <v>34</v>
      </c>
      <c r="N172" s="9" t="s">
        <v>35</v>
      </c>
      <c r="O172" s="9" t="s">
        <v>36</v>
      </c>
      <c r="P172" s="9" t="s">
        <v>37</v>
      </c>
      <c r="Q172" s="9" t="s">
        <v>38</v>
      </c>
      <c r="R172" s="9" t="s">
        <v>39</v>
      </c>
      <c r="S172" s="9" t="s">
        <v>40</v>
      </c>
      <c r="T172" s="9" t="s">
        <v>41</v>
      </c>
    </row>
    <row r="173" customFormat="false" ht="15" hidden="false" customHeight="false" outlineLevel="0" collapsed="false">
      <c r="A173" s="7" t="s">
        <v>22</v>
      </c>
      <c r="B173" s="7" t="s">
        <v>42</v>
      </c>
      <c r="H173" s="10" t="n">
        <f aca="false">$Y$171</f>
        <v>0.13</v>
      </c>
      <c r="I173" s="11" t="n">
        <f aca="false">IF(B173="mass",SQRT(E173*($B$2*3600)/(PI()*F173*G173)),0)</f>
        <v>0</v>
      </c>
      <c r="J173" s="10" t="n">
        <f aca="false">IF(B173="mass",D173/I173,0)</f>
        <v>0</v>
      </c>
      <c r="K173" s="7" t="str">
        <f aca="false">IF(B173="mass",COMPLEX(COSH(J173)*COS(J173),SINH(J173)*SIN(J173)),COMPLEX(1,0))</f>
        <v>1</v>
      </c>
      <c r="L173" s="7" t="str">
        <f aca="false">IF(B173="mass",COMPLEX(-I173/(2*E173)*(SINH(J173)*COS(J173)+COSH(J173)*SIN(J173)),-I173/(2*E173)*(COSH(J173)*SIN(J173)-SINH(J173)*COS(J173))),COMPLEX(-H173,0))</f>
        <v>-0.13</v>
      </c>
      <c r="M173" s="7" t="str">
        <f aca="false">IF(B173="mass",COMPLEX(-E173/I173*(SINH(J173)*COS(J173)-COSH(J173)*SIN(J173)),-E173/I173*(SINH(J173)*COS(J173)+COSH(J173)*SIN(J173))),COMPLEX(0,0))</f>
        <v>0</v>
      </c>
      <c r="N173" s="7" t="str">
        <f aca="false">K173</f>
        <v>1</v>
      </c>
      <c r="O173" s="7" t="str">
        <f aca="false">K173</f>
        <v>1</v>
      </c>
      <c r="P173" s="7" t="str">
        <f aca="false">L173</f>
        <v>-0.13</v>
      </c>
      <c r="Q173" s="7" t="str">
        <f aca="false">M173</f>
        <v>0</v>
      </c>
      <c r="R173" s="7" t="str">
        <f aca="false">N173</f>
        <v>1</v>
      </c>
      <c r="S173" s="10" t="n">
        <f aca="false">IF(B173="mass",D173/E173,H173)</f>
        <v>0.13</v>
      </c>
      <c r="T173" s="12" t="n">
        <f aca="false">IF(B173="mass",F173*G173*D173,0)</f>
        <v>0</v>
      </c>
    </row>
    <row r="174" customFormat="false" ht="15" hidden="false" customHeight="false" outlineLevel="0" collapsed="false">
      <c r="A174" s="7" t="s">
        <v>43</v>
      </c>
      <c r="B174" s="7" t="str">
        <f aca="false">IF(C174="","none",IF(C174="Cavity","res","mass"))</f>
        <v>mass</v>
      </c>
      <c r="C174" s="7" t="str">
        <f aca="false">IF(INDEX(Library!$G$5:$G$34,$U$171)="","",INDEX(Library!$G$5:$G$34,$U$171))</f>
        <v>plasterboard</v>
      </c>
      <c r="D174" s="11" t="n">
        <f aca="false">IF(B174="mass",INDEX(Library!$H$5:$H$34,$U$171)/1000,0)</f>
        <v>0.0125</v>
      </c>
      <c r="E174" s="7" t="n">
        <f aca="false">IF(B174="mass",INDEX(Materials!$B$5:$B$28,MATCH(C174,Materials!$A$5:$A$28,0)),0)</f>
        <v>0.21</v>
      </c>
      <c r="F174" s="7" t="n">
        <f aca="false">IF(B174="mass",INDEX(Materials!$C$5:$C$28,MATCH(C174,Materials!$A$5:$A$28,0)),0)</f>
        <v>700</v>
      </c>
      <c r="G174" s="7" t="n">
        <f aca="false">IF(B174="mass",INDEX(Materials!$D$5:$D$28,MATCH(C174,Materials!$A$5:$A$28,0)),0)</f>
        <v>1000</v>
      </c>
      <c r="H174" s="10" t="n">
        <f aca="false">IF(B174="res",INDEX(Library!$H$5:$H$34,$U$171),0)</f>
        <v>0</v>
      </c>
      <c r="I174" s="11" t="n">
        <f aca="false">IF(B174="mass",SQRT(E174*($B$2*3600)/(PI()*F174*G174)),0)</f>
        <v>0.0908327707927258</v>
      </c>
      <c r="J174" s="10" t="n">
        <f aca="false">IF(B174="mass",D174/I174,0)</f>
        <v>0.137615531166875</v>
      </c>
      <c r="K174" s="7" t="str">
        <f aca="false">IF(B174="mass",COMPLEX(COSH(J174)*COS(J174),SINH(J174)*SIN(J174)),COMPLEX(1,0))</f>
        <v>0.999940225193105+0.0189379589504749i</v>
      </c>
      <c r="L174" s="7" t="str">
        <f aca="false">IF(B174="mass",COMPLEX(-I174/(2*E174)*(SINH(J174)*COS(J174)+COSH(J174)*SIN(J174)),-I174/(2*E174)*(COSH(J174)*SIN(J174)-SINH(J174)*COS(J174))),COMPLEX(-H174,0))</f>
        <v>-0.0595230979186955-0.000375754009423939i</v>
      </c>
      <c r="M174" s="7" t="str">
        <f aca="false">IF(B174="mass",COMPLEX(-E174/I174*(SINH(J174)*COS(J174)-COSH(J174)*SIN(J174)),-E174/I174*(SINH(J174)*COS(J174)+COSH(J174)*SIN(J174))),COMPLEX(0,0))</f>
        <v>0.00401686359323574-0.636310349296785i</v>
      </c>
      <c r="N174" s="7" t="str">
        <f aca="false">K174</f>
        <v>0.999940225193105+0.0189379589504749i</v>
      </c>
      <c r="O174" s="7" t="str">
        <f aca="false">IMSUM(IMPRODUCT(K174,O173),IMPRODUCT(L174,Q173))</f>
        <v>0.999940225193105+0.0189379589504749i</v>
      </c>
      <c r="P174" s="7" t="str">
        <f aca="false">IMSUM(IMPRODUCT(K174,P173),IMPRODUCT(L174,R173))</f>
        <v>-0.1895153271938-0.00283768867298567i</v>
      </c>
      <c r="Q174" s="7" t="str">
        <f aca="false">IMSUM(IMPRODUCT(M174,O173),IMPRODUCT(N174,Q173))</f>
        <v>0.00401686359323574-0.636310349296785i</v>
      </c>
      <c r="R174" s="7" t="str">
        <f aca="false">IMSUM(IMPRODUCT(M174,P173),IMPRODUCT(N174,R173))</f>
        <v>0.999418032925984+0.101658304359057i</v>
      </c>
      <c r="S174" s="10" t="n">
        <f aca="false">IF(B174="mass",D174/E174,H174)</f>
        <v>0.0595238095238095</v>
      </c>
      <c r="T174" s="12" t="n">
        <f aca="false">IF(B174="mass",F174*G174*D174,0)</f>
        <v>8750</v>
      </c>
    </row>
    <row r="175" customFormat="false" ht="15" hidden="false" customHeight="false" outlineLevel="0" collapsed="false">
      <c r="A175" s="7" t="s">
        <v>44</v>
      </c>
      <c r="B175" s="7" t="str">
        <f aca="false">IF(C175="","none",IF(C175="Cavity","res","mass"))</f>
        <v>mass</v>
      </c>
      <c r="C175" s="7" t="str">
        <f aca="false">IF(INDEX(Library!$I$5:$I$34,$U$171)="","",INDEX(Library!$I$5:$I$34,$U$171))</f>
        <v>mineral wool + studs</v>
      </c>
      <c r="D175" s="11" t="n">
        <f aca="false">IF(B175="mass",INDEX(Library!$J$5:$J$34,$U$171)/1000,0)</f>
        <v>0.14</v>
      </c>
      <c r="E175" s="7" t="n">
        <f aca="false">IF(B175="mass",INDEX(Materials!$B$5:$B$28,MATCH(C175,Materials!$A$5:$A$28,0)),0)</f>
        <v>0.04</v>
      </c>
      <c r="F175" s="7" t="n">
        <f aca="false">IF(B175="mass",INDEX(Materials!$C$5:$C$28,MATCH(C175,Materials!$A$5:$A$28,0)),0)</f>
        <v>60</v>
      </c>
      <c r="G175" s="7" t="n">
        <f aca="false">IF(B175="mass",INDEX(Materials!$D$5:$D$28,MATCH(C175,Materials!$A$5:$A$28,0)),0)</f>
        <v>1200</v>
      </c>
      <c r="H175" s="10" t="n">
        <f aca="false">IF(B175="res",INDEX(Library!$J$5:$J$34,$U$171),0)</f>
        <v>0</v>
      </c>
      <c r="I175" s="11" t="n">
        <f aca="false">IF(B175="mass",SQRT(E175*($B$2*3600)/(PI()*F175*G175)),0)</f>
        <v>0.123607744647421</v>
      </c>
      <c r="J175" s="10" t="n">
        <f aca="false">IF(B175="mass",D175/I175,0)</f>
        <v>1.13261511565749</v>
      </c>
      <c r="K175" s="7" t="str">
        <f aca="false">IF(B175="mass",COMPLEX(COSH(J175)*COS(J175),SINH(J175)*SIN(J175)),COMPLEX(1,0))</f>
        <v>0.726804123649525+1.25939175281049i</v>
      </c>
      <c r="L175" s="7" t="str">
        <f aca="false">IF(B175="mass",COMPLEX(-I175/(2*E175)*(SINH(J175)*COS(J175)+COSH(J175)*SIN(J175)),-I175/(2*E175)*(COSH(J175)*SIN(J175)-SINH(J175)*COS(J175))),COMPLEX(-H175,0))</f>
        <v>-3.30842881418949-1.48490164221554i</v>
      </c>
      <c r="M175" s="7" t="str">
        <f aca="false">IF(B175="mass",COMPLEX(-E175/I175*(SINH(J175)*COS(J175)-COSH(J175)*SIN(J175)),-E175/I175*(SINH(J175)*COS(J175)+COSH(J175)*SIN(J175))),COMPLEX(0,0))</f>
        <v>0.310997072699183-0.692915710505499i</v>
      </c>
      <c r="N175" s="7" t="str">
        <f aca="false">K175</f>
        <v>0.726804123649525+1.25939175281049i</v>
      </c>
      <c r="O175" s="7" t="str">
        <f aca="false">IMSUM(IMPRODUCT(K175,O174),IMPRODUCT(L175,Q174))</f>
        <v>-0.255237420127978+3.37230350660468i</v>
      </c>
      <c r="P175" s="7" t="str">
        <f aca="false">IMSUM(IMPRODUCT(K175,P174),IMPRODUCT(L175,R174))</f>
        <v>-3.28971759405274-2.06110322562298i</v>
      </c>
      <c r="Q175" s="7" t="str">
        <f aca="false">IMSUM(IMPRODUCT(M175,O174),IMPRODUCT(N175,Q174))</f>
        <v>1.12838437134694-1.1443988227145i</v>
      </c>
      <c r="R175" s="7" t="str">
        <f aca="false">IMSUM(IMPRODUCT(M175,P174),IMPRODUCT(N175,R174))</f>
        <v>0.537448526413872+1.46298013781209i</v>
      </c>
      <c r="S175" s="10" t="n">
        <f aca="false">IF(B175="mass",D175/E175,H175)</f>
        <v>3.5</v>
      </c>
      <c r="T175" s="12" t="n">
        <f aca="false">IF(B175="mass",F175*G175*D175,0)</f>
        <v>10080</v>
      </c>
    </row>
    <row r="176" customFormat="false" ht="15" hidden="false" customHeight="false" outlineLevel="0" collapsed="false">
      <c r="A176" s="7" t="s">
        <v>45</v>
      </c>
      <c r="B176" s="7" t="str">
        <f aca="false">IF(C176="","none",IF(C176="Cavity","res","mass"))</f>
        <v>mass</v>
      </c>
      <c r="C176" s="7" t="str">
        <f aca="false">IF(INDEX(Library!$K$5:$K$34,$U$171)="","",INDEX(Library!$K$5:$K$34,$U$171))</f>
        <v>wood fibre</v>
      </c>
      <c r="D176" s="11" t="n">
        <f aca="false">IF(B176="mass",INDEX(Library!$L$5:$L$34,$U$171)/1000,0)</f>
        <v>0.06</v>
      </c>
      <c r="E176" s="7" t="n">
        <f aca="false">IF(B176="mass",INDEX(Materials!$B$5:$B$28,MATCH(C176,Materials!$A$5:$A$28,0)),0)</f>
        <v>0.038</v>
      </c>
      <c r="F176" s="7" t="n">
        <f aca="false">IF(B176="mass",INDEX(Materials!$C$5:$C$28,MATCH(C176,Materials!$A$5:$A$28,0)),0)</f>
        <v>160</v>
      </c>
      <c r="G176" s="7" t="n">
        <f aca="false">IF(B176="mass",INDEX(Materials!$D$5:$D$28,MATCH(C176,Materials!$A$5:$A$28,0)),0)</f>
        <v>2100</v>
      </c>
      <c r="H176" s="10" t="n">
        <f aca="false">IF(B176="res",INDEX(Library!$L$5:$L$34,$U$171),0)</f>
        <v>0</v>
      </c>
      <c r="I176" s="11" t="n">
        <f aca="false">IF(B176="mass",SQRT(E176*($B$2*3600)/(PI()*F176*G176)),0)</f>
        <v>0.055770443035935</v>
      </c>
      <c r="J176" s="10" t="n">
        <f aca="false">IF(B176="mass",D176/I176,0)</f>
        <v>1.07583868324911</v>
      </c>
      <c r="K176" s="7" t="str">
        <f aca="false">IF(B176="mass",COMPLEX(COSH(J176)*COS(J176),SINH(J176)*SIN(J176)),COMPLEX(1,0))</f>
        <v>0.777438238285684+1.14021896479597i</v>
      </c>
      <c r="L176" s="7" t="str">
        <f aca="false">IF(B176="mass",COMPLEX(-I176/(2*E176)*(SINH(J176)*COS(J176)+COSH(J176)*SIN(J176)),-I176/(2*E176)*(COSH(J176)*SIN(J176)-SINH(J176)*COS(J176))),COMPLEX(-H176,0))</f>
        <v>-1.50856481716219-0.60528965474075i</v>
      </c>
      <c r="M176" s="7" t="str">
        <f aca="false">IF(B176="mass",COMPLEX(-E176/I176*(SINH(J176)*COS(J176)-COSH(J176)*SIN(J176)),-E176/I176*(SINH(J176)*COS(J176)+COSH(J176)*SIN(J176))),COMPLEX(0,0))</f>
        <v>0.562020621865444-1.40072530568685i</v>
      </c>
      <c r="N176" s="7" t="str">
        <f aca="false">K176</f>
        <v>0.777438238285684+1.14021896479597i</v>
      </c>
      <c r="O176" s="7" t="str">
        <f aca="false">IMSUM(IMPRODUCT(K176,O175),IMPRODUCT(L176,Q175))</f>
        <v>-6.43852947466374+3.37413156438534i</v>
      </c>
      <c r="P176" s="7" t="str">
        <f aca="false">IMSUM(IMPRODUCT(K176,P175),IMPRODUCT(L176,R175))</f>
        <v>-0.132692459995089-7.88569124731956i</v>
      </c>
      <c r="Q176" s="7" t="str">
        <f aca="false">IMSUM(IMPRODUCT(M176,O175),IMPRODUCT(N176,Q175))</f>
        <v>6.76233656529234+2.64972748239425i</v>
      </c>
      <c r="R176" s="7" t="str">
        <f aca="false">IMSUM(IMPRODUCT(M176,P175),IMPRODUCT(N176,R175))</f>
        <v>-5.98621323644284+5.19979386936575i</v>
      </c>
      <c r="S176" s="10" t="n">
        <f aca="false">IF(B176="mass",D176/E176,H176)</f>
        <v>1.57894736842105</v>
      </c>
      <c r="T176" s="12" t="n">
        <f aca="false">IF(B176="mass",F176*G176*D176,0)</f>
        <v>20160</v>
      </c>
    </row>
    <row r="177" customFormat="false" ht="15" hidden="false" customHeight="false" outlineLevel="0" collapsed="false">
      <c r="A177" s="7" t="s">
        <v>46</v>
      </c>
      <c r="B177" s="7" t="str">
        <f aca="false">IF(C177="","none",IF(C177="Cavity","res","mass"))</f>
        <v>mass</v>
      </c>
      <c r="C177" s="7" t="str">
        <f aca="false">IF(INDEX(Library!$M$5:$M$34,$U$171)="","",INDEX(Library!$M$5:$M$34,$U$171))</f>
        <v>render</v>
      </c>
      <c r="D177" s="11" t="n">
        <f aca="false">IF(B177="mass",INDEX(Library!$N$5:$N$34,$U$171)/1000,0)</f>
        <v>0.01</v>
      </c>
      <c r="E177" s="7" t="n">
        <f aca="false">IF(B177="mass",INDEX(Materials!$B$5:$B$28,MATCH(C177,Materials!$A$5:$A$28,0)),0)</f>
        <v>0.8</v>
      </c>
      <c r="F177" s="7" t="n">
        <f aca="false">IF(B177="mass",INDEX(Materials!$C$5:$C$28,MATCH(C177,Materials!$A$5:$A$28,0)),0)</f>
        <v>1800</v>
      </c>
      <c r="G177" s="7" t="n">
        <f aca="false">IF(B177="mass",INDEX(Materials!$D$5:$D$28,MATCH(C177,Materials!$A$5:$A$28,0)),0)</f>
        <v>1000</v>
      </c>
      <c r="H177" s="10" t="n">
        <f aca="false">IF(B177="res",INDEX(Library!$N$5:$N$34,$U$171),0)</f>
        <v>0</v>
      </c>
      <c r="I177" s="11" t="n">
        <f aca="false">IF(B177="mass",SQRT(E177*($B$2*3600)/(PI()*F177*G177)),0)</f>
        <v>0.110558127830827</v>
      </c>
      <c r="J177" s="10" t="n">
        <f aca="false">IF(B177="mass",D177/I177,0)</f>
        <v>0.0904501568197835</v>
      </c>
      <c r="K177" s="7" t="str">
        <f aca="false">IF(B177="mass",COMPLEX(COSH(J177)*COS(J177),SINH(J177)*SIN(J177)),COMPLEX(1,0))</f>
        <v>0.99998884457869+0.00818122478438429i</v>
      </c>
      <c r="L177" s="7" t="str">
        <f aca="false">IF(B177="mass",COMPLEX(-I177/(2*E177)*(SINH(J177)*COS(J177)+COSH(J177)*SIN(J177)),-I177/(2*E177)*(COSH(J177)*SIN(J177)-SINH(J177)*COS(J177))),COMPLEX(-H177,0))</f>
        <v>-0.0124999721114447-3.40884510881232e-05i</v>
      </c>
      <c r="M177" s="7" t="str">
        <f aca="false">IF(B177="mass",COMPLEX(-E177/I177*(SINH(J177)*COS(J177)-COSH(J177)*SIN(J177)),-E177/I177*(SINH(J177)*COS(J177)+COSH(J177)*SIN(J177))),COMPLEX(0,0))</f>
        <v>0.00356973425035676-1.30899401851307i</v>
      </c>
      <c r="N177" s="7" t="str">
        <f aca="false">K177</f>
        <v>0.99998884457869+0.00818122478438429i</v>
      </c>
      <c r="O177" s="7" t="str">
        <f aca="false">IMSUM(IMPRODUCT(K177,O176),IMPRODUCT(L177,Q176))</f>
        <v>-6.55050087230384+3.28806683040098i</v>
      </c>
      <c r="P177" s="7" t="str">
        <f aca="false">IMSUM(IMPRODUCT(K177,P176),IMPRODUCT(L177,R176))</f>
        <v>0.00682838434746082-7.95148208356901i</v>
      </c>
      <c r="Q177" s="7" t="str">
        <f aca="false">IMSUM(IMPRODUCT(M177,O176),IMPRODUCT(N177,Q176))</f>
        <v>11.134317308697+11.1450634424417i</v>
      </c>
      <c r="R177" s="7" t="str">
        <f aca="false">IMSUM(IMPRODUCT(M177,P176),IMPRODUCT(N177,R176))</f>
        <v>-16.3514834915913+5.29630512168188i</v>
      </c>
      <c r="S177" s="10" t="n">
        <f aca="false">IF(B177="mass",D177/E177,H177)</f>
        <v>0.0125</v>
      </c>
      <c r="T177" s="12" t="n">
        <f aca="false">IF(B177="mass",F177*G177*D177,0)</f>
        <v>18000</v>
      </c>
    </row>
    <row r="178" customFormat="false" ht="15" hidden="false" customHeight="false" outlineLevel="0" collapsed="false">
      <c r="A178" s="7" t="s">
        <v>47</v>
      </c>
      <c r="B178" s="7" t="str">
        <f aca="false">IF(C178="","none",IF(C178="Cavity","res","mass"))</f>
        <v>none</v>
      </c>
      <c r="C178" s="7" t="str">
        <f aca="false">IF(INDEX(Library!$O$5:$O$34,$U$171)="","",INDEX(Library!$O$5:$O$34,$U$171))</f>
        <v/>
      </c>
      <c r="D178" s="11" t="n">
        <f aca="false">IF(B178="mass",INDEX(Library!$P$5:$P$34,$U$171)/1000,0)</f>
        <v>0</v>
      </c>
      <c r="E178" s="7" t="n">
        <f aca="false">IF(B178="mass",INDEX(Materials!$B$5:$B$28,MATCH(C178,Materials!$A$5:$A$28,0)),0)</f>
        <v>0</v>
      </c>
      <c r="F178" s="7" t="n">
        <f aca="false">IF(B178="mass",INDEX(Materials!$C$5:$C$28,MATCH(C178,Materials!$A$5:$A$28,0)),0)</f>
        <v>0</v>
      </c>
      <c r="G178" s="7" t="n">
        <f aca="false">IF(B178="mass",INDEX(Materials!$D$5:$D$28,MATCH(C178,Materials!$A$5:$A$28,0)),0)</f>
        <v>0</v>
      </c>
      <c r="H178" s="10" t="n">
        <f aca="false">IF(B178="res",INDEX(Library!$P$5:$P$34,$U$171),0)</f>
        <v>0</v>
      </c>
      <c r="I178" s="11" t="n">
        <f aca="false">IF(B178="mass",SQRT(E178*($B$2*3600)/(PI()*F178*G178)),0)</f>
        <v>0</v>
      </c>
      <c r="J178" s="10" t="n">
        <f aca="false">IF(B178="mass",D178/I178,0)</f>
        <v>0</v>
      </c>
      <c r="K178" s="7" t="str">
        <f aca="false">IF(B178="mass",COMPLEX(COSH(J178)*COS(J178),SINH(J178)*SIN(J178)),COMPLEX(1,0))</f>
        <v>1</v>
      </c>
      <c r="L178" s="7" t="str">
        <f aca="false">IF(B178="mass",COMPLEX(-I178/(2*E178)*(SINH(J178)*COS(J178)+COSH(J178)*SIN(J178)),-I178/(2*E178)*(COSH(J178)*SIN(J178)-SINH(J178)*COS(J178))),COMPLEX(-H178,0))</f>
        <v>-0</v>
      </c>
      <c r="M178" s="7" t="str">
        <f aca="false">IF(B178="mass",COMPLEX(-E178/I178*(SINH(J178)*COS(J178)-COSH(J178)*SIN(J178)),-E178/I178*(SINH(J178)*COS(J178)+COSH(J178)*SIN(J178))),COMPLEX(0,0))</f>
        <v>0</v>
      </c>
      <c r="N178" s="7" t="str">
        <f aca="false">K178</f>
        <v>1</v>
      </c>
      <c r="O178" s="7" t="str">
        <f aca="false">IMSUM(IMPRODUCT(K178,O177),IMPRODUCT(L178,Q177))</f>
        <v>-6.55050087230384+3.28806683040098i</v>
      </c>
      <c r="P178" s="7" t="str">
        <f aca="false">IMSUM(IMPRODUCT(K178,P177),IMPRODUCT(L178,R177))</f>
        <v>0.00682838434746082-7.95148208356901i</v>
      </c>
      <c r="Q178" s="7" t="str">
        <f aca="false">IMSUM(IMPRODUCT(M178,O177),IMPRODUCT(N178,Q177))</f>
        <v>11.134317308697+11.1450634424417i</v>
      </c>
      <c r="R178" s="7" t="str">
        <f aca="false">IMSUM(IMPRODUCT(M178,P177),IMPRODUCT(N178,R177))</f>
        <v>-16.3514834915913+5.29630512168188i</v>
      </c>
      <c r="S178" s="10" t="n">
        <f aca="false">IF(B178="mass",D178/E178,H178)</f>
        <v>0</v>
      </c>
      <c r="T178" s="12" t="n">
        <f aca="false">IF(B178="mass",F178*G178*D178,0)</f>
        <v>0</v>
      </c>
    </row>
    <row r="179" customFormat="false" ht="15" hidden="false" customHeight="false" outlineLevel="0" collapsed="false">
      <c r="A179" s="7" t="s">
        <v>48</v>
      </c>
      <c r="B179" s="7" t="str">
        <f aca="false">IF(C179="","none",IF(C179="Cavity","res","mass"))</f>
        <v>none</v>
      </c>
      <c r="C179" s="7" t="str">
        <f aca="false">IF(INDEX(Library!$Q$5:$Q$34,$U$171)="","",INDEX(Library!$Q$5:$Q$34,$U$171))</f>
        <v/>
      </c>
      <c r="D179" s="11" t="n">
        <f aca="false">IF(B179="mass",INDEX(Library!$R$5:$R$34,$U$171)/1000,0)</f>
        <v>0</v>
      </c>
      <c r="E179" s="7" t="n">
        <f aca="false">IF(B179="mass",INDEX(Materials!$B$5:$B$28,MATCH(C179,Materials!$A$5:$A$28,0)),0)</f>
        <v>0</v>
      </c>
      <c r="F179" s="7" t="n">
        <f aca="false">IF(B179="mass",INDEX(Materials!$C$5:$C$28,MATCH(C179,Materials!$A$5:$A$28,0)),0)</f>
        <v>0</v>
      </c>
      <c r="G179" s="7" t="n">
        <f aca="false">IF(B179="mass",INDEX(Materials!$D$5:$D$28,MATCH(C179,Materials!$A$5:$A$28,0)),0)</f>
        <v>0</v>
      </c>
      <c r="H179" s="10" t="n">
        <f aca="false">IF(B179="res",INDEX(Library!$R$5:$R$34,$U$171),0)</f>
        <v>0</v>
      </c>
      <c r="I179" s="11" t="n">
        <f aca="false">IF(B179="mass",SQRT(E179*($B$2*3600)/(PI()*F179*G179)),0)</f>
        <v>0</v>
      </c>
      <c r="J179" s="10" t="n">
        <f aca="false">IF(B179="mass",D179/I179,0)</f>
        <v>0</v>
      </c>
      <c r="K179" s="7" t="str">
        <f aca="false">IF(B179="mass",COMPLEX(COSH(J179)*COS(J179),SINH(J179)*SIN(J179)),COMPLEX(1,0))</f>
        <v>1</v>
      </c>
      <c r="L179" s="7" t="str">
        <f aca="false">IF(B179="mass",COMPLEX(-I179/(2*E179)*(SINH(J179)*COS(J179)+COSH(J179)*SIN(J179)),-I179/(2*E179)*(COSH(J179)*SIN(J179)-SINH(J179)*COS(J179))),COMPLEX(-H179,0))</f>
        <v>-0</v>
      </c>
      <c r="M179" s="7" t="str">
        <f aca="false">IF(B179="mass",COMPLEX(-E179/I179*(SINH(J179)*COS(J179)-COSH(J179)*SIN(J179)),-E179/I179*(SINH(J179)*COS(J179)+COSH(J179)*SIN(J179))),COMPLEX(0,0))</f>
        <v>0</v>
      </c>
      <c r="N179" s="7" t="str">
        <f aca="false">K179</f>
        <v>1</v>
      </c>
      <c r="O179" s="7" t="str">
        <f aca="false">IMSUM(IMPRODUCT(K179,O178),IMPRODUCT(L179,Q178))</f>
        <v>-6.55050087230384+3.28806683040098i</v>
      </c>
      <c r="P179" s="7" t="str">
        <f aca="false">IMSUM(IMPRODUCT(K179,P178),IMPRODUCT(L179,R178))</f>
        <v>0.00682838434746082-7.95148208356901i</v>
      </c>
      <c r="Q179" s="7" t="str">
        <f aca="false">IMSUM(IMPRODUCT(M179,O178),IMPRODUCT(N179,Q178))</f>
        <v>11.134317308697+11.1450634424417i</v>
      </c>
      <c r="R179" s="7" t="str">
        <f aca="false">IMSUM(IMPRODUCT(M179,P178),IMPRODUCT(N179,R178))</f>
        <v>-16.3514834915913+5.29630512168188i</v>
      </c>
      <c r="S179" s="10" t="n">
        <f aca="false">IF(B179="mass",D179/E179,H179)</f>
        <v>0</v>
      </c>
      <c r="T179" s="12" t="n">
        <f aca="false">IF(B179="mass",F179*G179*D179,0)</f>
        <v>0</v>
      </c>
    </row>
    <row r="180" customFormat="false" ht="15" hidden="false" customHeight="false" outlineLevel="0" collapsed="false">
      <c r="A180" s="7" t="s">
        <v>49</v>
      </c>
      <c r="B180" s="7" t="str">
        <f aca="false">IF(C180="","none",IF(C180="Cavity","res","mass"))</f>
        <v>none</v>
      </c>
      <c r="C180" s="7" t="str">
        <f aca="false">IF(INDEX(Library!$S$5:$S$34,$U$171)="","",INDEX(Library!$S$5:$S$34,$U$171))</f>
        <v/>
      </c>
      <c r="D180" s="11" t="n">
        <f aca="false">IF(B180="mass",INDEX(Library!$T$5:$T$34,$U$171)/1000,0)</f>
        <v>0</v>
      </c>
      <c r="E180" s="7" t="n">
        <f aca="false">IF(B180="mass",INDEX(Materials!$B$5:$B$28,MATCH(C180,Materials!$A$5:$A$28,0)),0)</f>
        <v>0</v>
      </c>
      <c r="F180" s="7" t="n">
        <f aca="false">IF(B180="mass",INDEX(Materials!$C$5:$C$28,MATCH(C180,Materials!$A$5:$A$28,0)),0)</f>
        <v>0</v>
      </c>
      <c r="G180" s="7" t="n">
        <f aca="false">IF(B180="mass",INDEX(Materials!$D$5:$D$28,MATCH(C180,Materials!$A$5:$A$28,0)),0)</f>
        <v>0</v>
      </c>
      <c r="H180" s="10" t="n">
        <f aca="false">IF(B180="res",INDEX(Library!$T$5:$T$34,$U$171),0)</f>
        <v>0</v>
      </c>
      <c r="I180" s="11" t="n">
        <f aca="false">IF(B180="mass",SQRT(E180*($B$2*3600)/(PI()*F180*G180)),0)</f>
        <v>0</v>
      </c>
      <c r="J180" s="10" t="n">
        <f aca="false">IF(B180="mass",D180/I180,0)</f>
        <v>0</v>
      </c>
      <c r="K180" s="7" t="str">
        <f aca="false">IF(B180="mass",COMPLEX(COSH(J180)*COS(J180),SINH(J180)*SIN(J180)),COMPLEX(1,0))</f>
        <v>1</v>
      </c>
      <c r="L180" s="7" t="str">
        <f aca="false">IF(B180="mass",COMPLEX(-I180/(2*E180)*(SINH(J180)*COS(J180)+COSH(J180)*SIN(J180)),-I180/(2*E180)*(COSH(J180)*SIN(J180)-SINH(J180)*COS(J180))),COMPLEX(-H180,0))</f>
        <v>-0</v>
      </c>
      <c r="M180" s="7" t="str">
        <f aca="false">IF(B180="mass",COMPLEX(-E180/I180*(SINH(J180)*COS(J180)-COSH(J180)*SIN(J180)),-E180/I180*(SINH(J180)*COS(J180)+COSH(J180)*SIN(J180))),COMPLEX(0,0))</f>
        <v>0</v>
      </c>
      <c r="N180" s="7" t="str">
        <f aca="false">K180</f>
        <v>1</v>
      </c>
      <c r="O180" s="7" t="str">
        <f aca="false">IMSUM(IMPRODUCT(K180,O179),IMPRODUCT(L180,Q179))</f>
        <v>-6.55050087230384+3.28806683040098i</v>
      </c>
      <c r="P180" s="7" t="str">
        <f aca="false">IMSUM(IMPRODUCT(K180,P179),IMPRODUCT(L180,R179))</f>
        <v>0.00682838434746082-7.95148208356901i</v>
      </c>
      <c r="Q180" s="7" t="str">
        <f aca="false">IMSUM(IMPRODUCT(M180,O179),IMPRODUCT(N180,Q179))</f>
        <v>11.134317308697+11.1450634424417i</v>
      </c>
      <c r="R180" s="7" t="str">
        <f aca="false">IMSUM(IMPRODUCT(M180,P179),IMPRODUCT(N180,R179))</f>
        <v>-16.3514834915913+5.29630512168188i</v>
      </c>
      <c r="S180" s="10" t="n">
        <f aca="false">IF(B180="mass",D180/E180,H180)</f>
        <v>0</v>
      </c>
      <c r="T180" s="12" t="n">
        <f aca="false">IF(B180="mass",F180*G180*D180,0)</f>
        <v>0</v>
      </c>
    </row>
    <row r="181" customFormat="false" ht="15" hidden="false" customHeight="false" outlineLevel="0" collapsed="false">
      <c r="A181" s="7" t="s">
        <v>50</v>
      </c>
      <c r="B181" s="7" t="str">
        <f aca="false">IF(C181="","none",IF(C181="Cavity","res","mass"))</f>
        <v>none</v>
      </c>
      <c r="C181" s="7" t="str">
        <f aca="false">IF(INDEX(Library!$U$5:$U$34,$U$171)="","",INDEX(Library!$U$5:$U$34,$U$171))</f>
        <v/>
      </c>
      <c r="D181" s="11" t="n">
        <f aca="false">IF(B181="mass",INDEX(Library!$V$5:$V$34,$U$171)/1000,0)</f>
        <v>0</v>
      </c>
      <c r="E181" s="7" t="n">
        <f aca="false">IF(B181="mass",INDEX(Materials!$B$5:$B$28,MATCH(C181,Materials!$A$5:$A$28,0)),0)</f>
        <v>0</v>
      </c>
      <c r="F181" s="7" t="n">
        <f aca="false">IF(B181="mass",INDEX(Materials!$C$5:$C$28,MATCH(C181,Materials!$A$5:$A$28,0)),0)</f>
        <v>0</v>
      </c>
      <c r="G181" s="7" t="n">
        <f aca="false">IF(B181="mass",INDEX(Materials!$D$5:$D$28,MATCH(C181,Materials!$A$5:$A$28,0)),0)</f>
        <v>0</v>
      </c>
      <c r="H181" s="10" t="n">
        <f aca="false">IF(B181="res",INDEX(Library!$V$5:$V$34,$U$171),0)</f>
        <v>0</v>
      </c>
      <c r="I181" s="11" t="n">
        <f aca="false">IF(B181="mass",SQRT(E181*($B$2*3600)/(PI()*F181*G181)),0)</f>
        <v>0</v>
      </c>
      <c r="J181" s="10" t="n">
        <f aca="false">IF(B181="mass",D181/I181,0)</f>
        <v>0</v>
      </c>
      <c r="K181" s="7" t="str">
        <f aca="false">IF(B181="mass",COMPLEX(COSH(J181)*COS(J181),SINH(J181)*SIN(J181)),COMPLEX(1,0))</f>
        <v>1</v>
      </c>
      <c r="L181" s="7" t="str">
        <f aca="false">IF(B181="mass",COMPLEX(-I181/(2*E181)*(SINH(J181)*COS(J181)+COSH(J181)*SIN(J181)),-I181/(2*E181)*(COSH(J181)*SIN(J181)-SINH(J181)*COS(J181))),COMPLEX(-H181,0))</f>
        <v>-0</v>
      </c>
      <c r="M181" s="7" t="str">
        <f aca="false">IF(B181="mass",COMPLEX(-E181/I181*(SINH(J181)*COS(J181)-COSH(J181)*SIN(J181)),-E181/I181*(SINH(J181)*COS(J181)+COSH(J181)*SIN(J181))),COMPLEX(0,0))</f>
        <v>0</v>
      </c>
      <c r="N181" s="7" t="str">
        <f aca="false">K181</f>
        <v>1</v>
      </c>
      <c r="O181" s="7" t="str">
        <f aca="false">IMSUM(IMPRODUCT(K181,O180),IMPRODUCT(L181,Q180))</f>
        <v>-6.55050087230384+3.28806683040098i</v>
      </c>
      <c r="P181" s="7" t="str">
        <f aca="false">IMSUM(IMPRODUCT(K181,P180),IMPRODUCT(L181,R180))</f>
        <v>0.00682838434746082-7.95148208356901i</v>
      </c>
      <c r="Q181" s="7" t="str">
        <f aca="false">IMSUM(IMPRODUCT(M181,O180),IMPRODUCT(N181,Q180))</f>
        <v>11.134317308697+11.1450634424417i</v>
      </c>
      <c r="R181" s="7" t="str">
        <f aca="false">IMSUM(IMPRODUCT(M181,P180),IMPRODUCT(N181,R180))</f>
        <v>-16.3514834915913+5.29630512168188i</v>
      </c>
      <c r="S181" s="10" t="n">
        <f aca="false">IF(B181="mass",D181/E181,H181)</f>
        <v>0</v>
      </c>
      <c r="T181" s="12" t="n">
        <f aca="false">IF(B181="mass",F181*G181*D181,0)</f>
        <v>0</v>
      </c>
    </row>
    <row r="182" customFormat="false" ht="15" hidden="false" customHeight="false" outlineLevel="0" collapsed="false">
      <c r="A182" s="7" t="s">
        <v>51</v>
      </c>
      <c r="B182" s="7" t="str">
        <f aca="false">IF($W$171="ground","mass",IF($W$171="adiabatic","res","none"))</f>
        <v>none</v>
      </c>
      <c r="C182" s="7" t="str">
        <f aca="false">IF($W$171="ground","clay soil","")</f>
        <v/>
      </c>
      <c r="D182" s="11" t="n">
        <f aca="false">IF(B182="mass",1,0)</f>
        <v>0</v>
      </c>
      <c r="E182" s="7" t="n">
        <f aca="false">IF(B182="mass",INDEX(Materials!$B$5:$B$28,MATCH(C182,Materials!$A$5:$A$28,0)),0)</f>
        <v>0</v>
      </c>
      <c r="F182" s="7" t="n">
        <f aca="false">IF(B182="mass",INDEX(Materials!$C$5:$C$28,MATCH(C182,Materials!$A$5:$A$28,0)),0)</f>
        <v>0</v>
      </c>
      <c r="G182" s="7" t="n">
        <f aca="false">IF(B182="mass",INDEX(Materials!$D$5:$D$28,MATCH(C182,Materials!$A$5:$A$28,0)),0)</f>
        <v>0</v>
      </c>
      <c r="H182" s="12" t="n">
        <f aca="false">IF(B182="res",1000000,0)</f>
        <v>0</v>
      </c>
      <c r="I182" s="11" t="n">
        <f aca="false">IF(B182="mass",SQRT(E182*($B$2*3600)/(PI()*F182*G182)),0)</f>
        <v>0</v>
      </c>
      <c r="J182" s="10" t="n">
        <f aca="false">IF(B182="mass",D182/I182,0)</f>
        <v>0</v>
      </c>
      <c r="K182" s="7" t="str">
        <f aca="false">IF(B182="mass",COMPLEX(COSH(J182)*COS(J182),SINH(J182)*SIN(J182)),COMPLEX(1,0))</f>
        <v>1</v>
      </c>
      <c r="L182" s="7" t="str">
        <f aca="false">IF(B182="mass",COMPLEX(-I182/(2*E182)*(SINH(J182)*COS(J182)+COSH(J182)*SIN(J182)),-I182/(2*E182)*(COSH(J182)*SIN(J182)-SINH(J182)*COS(J182))),COMPLEX(-H182,0))</f>
        <v>-0</v>
      </c>
      <c r="M182" s="7" t="str">
        <f aca="false">IF(B182="mass",COMPLEX(-E182/I182*(SINH(J182)*COS(J182)-COSH(J182)*SIN(J182)),-E182/I182*(SINH(J182)*COS(J182)+COSH(J182)*SIN(J182))),COMPLEX(0,0))</f>
        <v>0</v>
      </c>
      <c r="N182" s="7" t="str">
        <f aca="false">K182</f>
        <v>1</v>
      </c>
      <c r="O182" s="7" t="str">
        <f aca="false">IMSUM(IMPRODUCT(K182,O181),IMPRODUCT(L182,Q181))</f>
        <v>-6.55050087230384+3.28806683040098i</v>
      </c>
      <c r="P182" s="7" t="str">
        <f aca="false">IMSUM(IMPRODUCT(K182,P181),IMPRODUCT(L182,R181))</f>
        <v>0.00682838434746082-7.95148208356901i</v>
      </c>
      <c r="Q182" s="7" t="str">
        <f aca="false">IMSUM(IMPRODUCT(M182,O181),IMPRODUCT(N182,Q181))</f>
        <v>11.134317308697+11.1450634424417i</v>
      </c>
      <c r="R182" s="7" t="str">
        <f aca="false">IMSUM(IMPRODUCT(M182,P181),IMPRODUCT(N182,R181))</f>
        <v>-16.3514834915913+5.29630512168188i</v>
      </c>
      <c r="S182" s="10" t="n">
        <f aca="false">IF(B182="mass",D182/E182,H182)</f>
        <v>0</v>
      </c>
      <c r="T182" s="12" t="n">
        <f aca="false">IF(B182="mass",F182*G182*D182,0)</f>
        <v>0</v>
      </c>
    </row>
    <row r="183" customFormat="false" ht="15" hidden="false" customHeight="false" outlineLevel="0" collapsed="false">
      <c r="A183" s="7" t="s">
        <v>52</v>
      </c>
      <c r="B183" s="7" t="s">
        <v>42</v>
      </c>
      <c r="H183" s="10" t="n">
        <f aca="false">IF($W$171="ext",0.04,IF($W$171="room",$Y$171,0))</f>
        <v>0.04</v>
      </c>
      <c r="I183" s="11" t="n">
        <f aca="false">IF(B183="mass",SQRT(E183*($B$2*3600)/(PI()*F183*G183)),0)</f>
        <v>0</v>
      </c>
      <c r="J183" s="10" t="n">
        <f aca="false">IF(B183="mass",D183/I183,0)</f>
        <v>0</v>
      </c>
      <c r="K183" s="7" t="str">
        <f aca="false">IF(B183="mass",COMPLEX(COSH(J183)*COS(J183),SINH(J183)*SIN(J183)),COMPLEX(1,0))</f>
        <v>1</v>
      </c>
      <c r="L183" s="7" t="str">
        <f aca="false">IF(B183="mass",COMPLEX(-I183/(2*E183)*(SINH(J183)*COS(J183)+COSH(J183)*SIN(J183)),-I183/(2*E183)*(COSH(J183)*SIN(J183)-SINH(J183)*COS(J183))),COMPLEX(-H183,0))</f>
        <v>-0.04</v>
      </c>
      <c r="M183" s="7" t="str">
        <f aca="false">IF(B183="mass",COMPLEX(-E183/I183*(SINH(J183)*COS(J183)-COSH(J183)*SIN(J183)),-E183/I183*(SINH(J183)*COS(J183)+COSH(J183)*SIN(J183))),COMPLEX(0,0))</f>
        <v>0</v>
      </c>
      <c r="N183" s="7" t="str">
        <f aca="false">K183</f>
        <v>1</v>
      </c>
      <c r="O183" s="7" t="str">
        <f aca="false">IMSUM(IMPRODUCT(K183,O182),IMPRODUCT(L183,Q182))</f>
        <v>-6.99587356465172+2.84226429270331i</v>
      </c>
      <c r="P183" s="7" t="str">
        <f aca="false">IMSUM(IMPRODUCT(K183,P182),IMPRODUCT(L183,R182))</f>
        <v>0.660887724011113-8.16333428843629i</v>
      </c>
      <c r="Q183" s="7" t="str">
        <f aca="false">IMSUM(IMPRODUCT(M183,O182),IMPRODUCT(N183,Q182))</f>
        <v>11.134317308697+11.1450634424417i</v>
      </c>
      <c r="R183" s="7" t="str">
        <f aca="false">IMSUM(IMPRODUCT(M183,P182),IMPRODUCT(N183,R182))</f>
        <v>-16.3514834915913+5.29630512168188i</v>
      </c>
      <c r="S183" s="10" t="n">
        <f aca="false">IF(B183="mass",D183/E183,H183)</f>
        <v>0.04</v>
      </c>
      <c r="T183" s="12" t="n">
        <f aca="false">IF(B183="mass",F183*G183*D183,0)</f>
        <v>0</v>
      </c>
    </row>
    <row r="184" customFormat="false" ht="15" hidden="false" customHeight="false" outlineLevel="0" collapsed="false">
      <c r="A184" s="9" t="s">
        <v>53</v>
      </c>
      <c r="B184" s="13" t="n">
        <f aca="false">IF(OR($W$171="ext",$W$171="ground"),1/SUM(S173:S183),"–")</f>
        <v>0.187935616743226</v>
      </c>
      <c r="C184" s="9" t="s">
        <v>54</v>
      </c>
      <c r="D184" s="13" t="n">
        <f aca="false">IMABS(IMDIV(IMPRODUCT(O183,COMPLEX(-1,0)),P183))</f>
        <v>0.921998378163155</v>
      </c>
      <c r="E184" s="9" t="s">
        <v>55</v>
      </c>
      <c r="F184" s="14" t="n">
        <f aca="false">IMARGUMENT(IMDIV(IMPRODUCT(O183,COMPLEX(-1,0)),P183))*$B$2/(2*PI())</f>
        <v>4.21738336494567</v>
      </c>
      <c r="G184" s="9" t="s">
        <v>56</v>
      </c>
      <c r="H184" s="13" t="n">
        <f aca="false">IF($W$171="ext",IMABS(IMDIV(COMPLEX(-1,0),P183))*SUM(S173:S183),"–")</f>
        <v>0.649687843931576</v>
      </c>
      <c r="I184" s="9" t="s">
        <v>57</v>
      </c>
      <c r="J184" s="14" t="n">
        <f aca="false">IF($W$171="ext",MOD(-IMARGUMENT(IMDIV(COMPLEX(-1,0),P183))*$B$2/(2*PI()),24),"–")</f>
        <v>6.30856406148944</v>
      </c>
      <c r="K184" s="9" t="s">
        <v>58</v>
      </c>
      <c r="L184" s="15" t="n">
        <f aca="false">($B$2*3600)/(2*PI())*IMABS(IMDIV(IMSUB(O183,COMPLEX(1,0)),P183))/1000</f>
        <v>14.2479221392243</v>
      </c>
      <c r="M184" s="9" t="s">
        <v>59</v>
      </c>
      <c r="N184" s="15" t="n">
        <f aca="false">SUM(T174:T181)/1000</f>
        <v>56.99</v>
      </c>
      <c r="O184" s="9" t="s">
        <v>60</v>
      </c>
      <c r="P184" s="16" t="n">
        <f aca="false">SUM(S174:S181)</f>
        <v>5.15097117794486</v>
      </c>
    </row>
    <row r="186" customFormat="false" ht="15" hidden="false" customHeight="false" outlineLevel="0" collapsed="false">
      <c r="A186" s="4" t="s">
        <v>89</v>
      </c>
    </row>
    <row r="187" customFormat="false" ht="15" hidden="false" customHeight="false" outlineLevel="0" collapsed="false">
      <c r="A187" s="9"/>
      <c r="B187" s="9" t="s">
        <v>62</v>
      </c>
      <c r="C187" s="9" t="s">
        <v>63</v>
      </c>
      <c r="D187" s="9"/>
      <c r="E187" s="9"/>
      <c r="F187" s="9"/>
      <c r="G187" s="9"/>
      <c r="H187" s="9"/>
      <c r="I187" s="9"/>
      <c r="J187" s="9"/>
      <c r="K187" s="9" t="s">
        <v>32</v>
      </c>
      <c r="L187" s="9" t="s">
        <v>33</v>
      </c>
      <c r="M187" s="9" t="s">
        <v>34</v>
      </c>
      <c r="N187" s="9" t="s">
        <v>35</v>
      </c>
      <c r="O187" s="9" t="s">
        <v>36</v>
      </c>
      <c r="P187" s="9" t="s">
        <v>37</v>
      </c>
      <c r="Q187" s="9" t="s">
        <v>38</v>
      </c>
      <c r="R187" s="9" t="s">
        <v>39</v>
      </c>
    </row>
    <row r="188" customFormat="false" ht="15" hidden="false" customHeight="false" outlineLevel="0" collapsed="false">
      <c r="A188" s="7" t="s">
        <v>22</v>
      </c>
      <c r="B188" s="7" t="s">
        <v>42</v>
      </c>
      <c r="C188" s="10" t="n">
        <f aca="false">$Y$171</f>
        <v>0.13</v>
      </c>
      <c r="K188" s="7" t="str">
        <f aca="false">COMPLEX(1,0)</f>
        <v>1</v>
      </c>
      <c r="L188" s="7" t="str">
        <f aca="false">COMPLEX(-C188,0)</f>
        <v>-0.13</v>
      </c>
      <c r="M188" s="7" t="str">
        <f aca="false">COMPLEX(0,0)</f>
        <v>0</v>
      </c>
      <c r="N188" s="7" t="str">
        <f aca="false">COMPLEX(1,0)</f>
        <v>1</v>
      </c>
      <c r="O188" s="7" t="str">
        <f aca="false">K188</f>
        <v>1</v>
      </c>
      <c r="P188" s="7" t="str">
        <f aca="false">L188</f>
        <v>-0.13</v>
      </c>
      <c r="Q188" s="7" t="str">
        <f aca="false">M188</f>
        <v>0</v>
      </c>
      <c r="R188" s="7" t="str">
        <f aca="false">N188</f>
        <v>1</v>
      </c>
    </row>
    <row r="189" customFormat="false" ht="15" hidden="false" customHeight="false" outlineLevel="0" collapsed="false">
      <c r="A189" s="7" t="s">
        <v>64</v>
      </c>
      <c r="B189" s="7" t="s">
        <v>65</v>
      </c>
      <c r="C189" s="10" t="n">
        <f aca="false">INDEX(Classes!$B$5:$F$9,MATCH(Engine!$C$170,Classes!$A$5:$A$9,0),5)*(N184*1000)</f>
        <v>7123.75</v>
      </c>
      <c r="K189" s="7" t="str">
        <f aca="false">COMPLEX(1,0)</f>
        <v>1</v>
      </c>
      <c r="L189" s="7" t="str">
        <f aca="false">COMPLEX(0,0)</f>
        <v>0</v>
      </c>
      <c r="M189" s="7" t="str">
        <f aca="false">COMPLEX(0,-(2*PI()/($B$2*3600))*C189)</f>
        <v>-0.518053719120608i</v>
      </c>
      <c r="N189" s="7" t="str">
        <f aca="false">COMPLEX(1,0)</f>
        <v>1</v>
      </c>
      <c r="O189" s="7" t="str">
        <f aca="false">IMSUM(IMPRODUCT(K189,O188),IMPRODUCT(L189,Q188))</f>
        <v>1</v>
      </c>
      <c r="P189" s="7" t="str">
        <f aca="false">IMSUM(IMPRODUCT(K189,P188),IMPRODUCT(L189,R188))</f>
        <v>-0.13</v>
      </c>
      <c r="Q189" s="7" t="str">
        <f aca="false">IMSUM(IMPRODUCT(M189,O188),IMPRODUCT(N189,Q188))</f>
        <v>-0.518053719120608i</v>
      </c>
      <c r="R189" s="7" t="str">
        <f aca="false">IMSUM(IMPRODUCT(M189,P188),IMPRODUCT(N189,R188))</f>
        <v>1+0.067346983485679i</v>
      </c>
    </row>
    <row r="190" customFormat="false" ht="15" hidden="false" customHeight="false" outlineLevel="0" collapsed="false">
      <c r="A190" s="7" t="s">
        <v>66</v>
      </c>
      <c r="B190" s="7" t="s">
        <v>42</v>
      </c>
      <c r="C190" s="10" t="n">
        <f aca="false">P184/6</f>
        <v>0.858495196324144</v>
      </c>
      <c r="K190" s="7" t="str">
        <f aca="false">COMPLEX(1,0)</f>
        <v>1</v>
      </c>
      <c r="L190" s="7" t="str">
        <f aca="false">COMPLEX(-C190,0)</f>
        <v>-0.858495196324144</v>
      </c>
      <c r="M190" s="7" t="str">
        <f aca="false">COMPLEX(0,0)</f>
        <v>0</v>
      </c>
      <c r="N190" s="7" t="str">
        <f aca="false">COMPLEX(1,0)</f>
        <v>1</v>
      </c>
      <c r="O190" s="7" t="str">
        <f aca="false">IMSUM(IMPRODUCT(K190,O189),IMPRODUCT(L190,Q189))</f>
        <v>1+0.444746629302899i</v>
      </c>
      <c r="P190" s="7" t="str">
        <f aca="false">IMSUM(IMPRODUCT(K190,P189),IMPRODUCT(L190,R189))</f>
        <v>-0.988495196324144-0.0578170618093769i</v>
      </c>
      <c r="Q190" s="7" t="str">
        <f aca="false">IMSUM(IMPRODUCT(M190,O189),IMPRODUCT(N190,Q189))</f>
        <v>-0.518053719120608i</v>
      </c>
      <c r="R190" s="7" t="str">
        <f aca="false">IMSUM(IMPRODUCT(M190,P189),IMPRODUCT(N190,R189))</f>
        <v>1+0.067346983485679i</v>
      </c>
    </row>
    <row r="191" customFormat="false" ht="15" hidden="false" customHeight="false" outlineLevel="0" collapsed="false">
      <c r="A191" s="7" t="s">
        <v>67</v>
      </c>
      <c r="B191" s="7" t="s">
        <v>65</v>
      </c>
      <c r="C191" s="10" t="n">
        <f aca="false">INDEX(Classes!$B$5:$F$9,MATCH(Engine!$C$170,Classes!$A$5:$A$9,0),4)*(N184*1000)</f>
        <v>14247.5</v>
      </c>
      <c r="K191" s="7" t="str">
        <f aca="false">COMPLEX(1,0)</f>
        <v>1</v>
      </c>
      <c r="L191" s="7" t="str">
        <f aca="false">COMPLEX(0,0)</f>
        <v>0</v>
      </c>
      <c r="M191" s="7" t="str">
        <f aca="false">COMPLEX(0,-(2*PI()/($B$2*3600))*C191)</f>
        <v>-1.03610743824122i</v>
      </c>
      <c r="N191" s="7" t="str">
        <f aca="false">COMPLEX(1,0)</f>
        <v>1</v>
      </c>
      <c r="O191" s="7" t="str">
        <f aca="false">IMSUM(IMPRODUCT(K191,O190),IMPRODUCT(L191,Q190))</f>
        <v>1+0.444746629302899i</v>
      </c>
      <c r="P191" s="7" t="str">
        <f aca="false">IMSUM(IMPRODUCT(K191,P190),IMPRODUCT(L191,R190))</f>
        <v>-0.988495196324144-0.0578170618093769i</v>
      </c>
      <c r="Q191" s="7" t="str">
        <f aca="false">IMSUM(IMPRODUCT(M191,O190),IMPRODUCT(N191,Q190))</f>
        <v>0.460805290753444-1.55416115736183i</v>
      </c>
      <c r="R191" s="7" t="str">
        <f aca="false">IMSUM(IMPRODUCT(M191,P190),IMPRODUCT(N191,R190))</f>
        <v>0.940095312202052+1.09153420906284i</v>
      </c>
    </row>
    <row r="192" customFormat="false" ht="15" hidden="false" customHeight="false" outlineLevel="0" collapsed="false">
      <c r="A192" s="7" t="s">
        <v>68</v>
      </c>
      <c r="B192" s="7" t="s">
        <v>42</v>
      </c>
      <c r="C192" s="10" t="n">
        <f aca="false">P184/3</f>
        <v>1.71699039264829</v>
      </c>
      <c r="K192" s="7" t="str">
        <f aca="false">COMPLEX(1,0)</f>
        <v>1</v>
      </c>
      <c r="L192" s="7" t="str">
        <f aca="false">COMPLEX(-C192,0)</f>
        <v>-1.71699039264829</v>
      </c>
      <c r="M192" s="7" t="str">
        <f aca="false">COMPLEX(0,0)</f>
        <v>0</v>
      </c>
      <c r="N192" s="7" t="str">
        <f aca="false">COMPLEX(1,0)</f>
        <v>1</v>
      </c>
      <c r="O192" s="7" t="str">
        <f aca="false">IMSUM(IMPRODUCT(K192,O191),IMPRODUCT(L192,Q191))</f>
        <v>0.208801742894834+3.11322640512031i</v>
      </c>
      <c r="P192" s="7" t="str">
        <f aca="false">IMSUM(IMPRODUCT(K192,P191),IMPRODUCT(L192,R191))</f>
        <v>-2.60262981554876-1.93197081201723i</v>
      </c>
      <c r="Q192" s="7" t="str">
        <f aca="false">IMSUM(IMPRODUCT(M192,O191),IMPRODUCT(N192,Q191))</f>
        <v>0.460805290753444-1.55416115736183i</v>
      </c>
      <c r="R192" s="7" t="str">
        <f aca="false">IMSUM(IMPRODUCT(M192,P191),IMPRODUCT(N192,R191))</f>
        <v>0.940095312202052+1.09153420906284i</v>
      </c>
    </row>
    <row r="193" customFormat="false" ht="15" hidden="false" customHeight="false" outlineLevel="0" collapsed="false">
      <c r="A193" s="7" t="s">
        <v>69</v>
      </c>
      <c r="B193" s="7" t="s">
        <v>65</v>
      </c>
      <c r="C193" s="10" t="n">
        <f aca="false">INDEX(Classes!$B$5:$F$9,MATCH(Engine!$C$170,Classes!$A$5:$A$9,0),3)*(N184*1000)</f>
        <v>14247.5</v>
      </c>
      <c r="K193" s="7" t="str">
        <f aca="false">COMPLEX(1,0)</f>
        <v>1</v>
      </c>
      <c r="L193" s="7" t="str">
        <f aca="false">COMPLEX(0,0)</f>
        <v>0</v>
      </c>
      <c r="M193" s="7" t="str">
        <f aca="false">COMPLEX(0,-(2*PI()/($B$2*3600))*C193)</f>
        <v>-1.03610743824122i</v>
      </c>
      <c r="N193" s="7" t="str">
        <f aca="false">COMPLEX(1,0)</f>
        <v>1</v>
      </c>
      <c r="O193" s="7" t="str">
        <f aca="false">IMSUM(IMPRODUCT(K193,O192),IMPRODUCT(L193,Q192))</f>
        <v>0.208801742894834+3.11322640512031i</v>
      </c>
      <c r="P193" s="7" t="str">
        <f aca="false">IMSUM(IMPRODUCT(K193,P192),IMPRODUCT(L193,R192))</f>
        <v>-2.60262981554876-1.93197081201723i</v>
      </c>
      <c r="Q193" s="7" t="str">
        <f aca="false">IMSUM(IMPRODUCT(M193,O192),IMPRODUCT(N193,Q192))</f>
        <v>3.68644232602757-1.7705021962929i</v>
      </c>
      <c r="R193" s="7" t="str">
        <f aca="false">IMSUM(IMPRODUCT(M193,P192),IMPRODUCT(N193,R192))</f>
        <v>-1.06163401659393+3.78813831994129i</v>
      </c>
    </row>
    <row r="194" customFormat="false" ht="15" hidden="false" customHeight="false" outlineLevel="0" collapsed="false">
      <c r="A194" s="7" t="s">
        <v>68</v>
      </c>
      <c r="B194" s="7" t="s">
        <v>42</v>
      </c>
      <c r="C194" s="10" t="n">
        <f aca="false">P184/3</f>
        <v>1.71699039264829</v>
      </c>
      <c r="K194" s="7" t="str">
        <f aca="false">COMPLEX(1,0)</f>
        <v>1</v>
      </c>
      <c r="L194" s="7" t="str">
        <f aca="false">COMPLEX(-C194,0)</f>
        <v>-1.71699039264829</v>
      </c>
      <c r="M194" s="7" t="str">
        <f aca="false">COMPLEX(0,0)</f>
        <v>0</v>
      </c>
      <c r="N194" s="7" t="str">
        <f aca="false">COMPLEX(1,0)</f>
        <v>1</v>
      </c>
      <c r="O194" s="7" t="str">
        <f aca="false">IMSUM(IMPRODUCT(K194,O193),IMPRODUCT(L194,Q193))</f>
        <v>-6.12078431394652+6.15316166631792i</v>
      </c>
      <c r="P194" s="7" t="str">
        <f aca="false">IMSUM(IMPRODUCT(K194,P193),IMPRODUCT(L194,R193))</f>
        <v>-0.77981440854837-8.43616791337926i</v>
      </c>
      <c r="Q194" s="7" t="str">
        <f aca="false">IMSUM(IMPRODUCT(M194,O193),IMPRODUCT(N194,Q193))</f>
        <v>3.68644232602757-1.7705021962929i</v>
      </c>
      <c r="R194" s="7" t="str">
        <f aca="false">IMSUM(IMPRODUCT(M194,P193),IMPRODUCT(N194,R193))</f>
        <v>-1.06163401659393+3.78813831994129i</v>
      </c>
    </row>
    <row r="195" customFormat="false" ht="15" hidden="false" customHeight="false" outlineLevel="0" collapsed="false">
      <c r="A195" s="7" t="s">
        <v>70</v>
      </c>
      <c r="B195" s="7" t="s">
        <v>65</v>
      </c>
      <c r="C195" s="10" t="n">
        <f aca="false">INDEX(Classes!$B$5:$F$9,MATCH(Engine!$C$170,Classes!$A$5:$A$9,0),2)*(N184*1000)</f>
        <v>14247.5</v>
      </c>
      <c r="K195" s="7" t="str">
        <f aca="false">COMPLEX(1,0)</f>
        <v>1</v>
      </c>
      <c r="L195" s="7" t="str">
        <f aca="false">COMPLEX(0,0)</f>
        <v>0</v>
      </c>
      <c r="M195" s="7" t="str">
        <f aca="false">COMPLEX(0,-(2*PI()/($B$2*3600))*C195)</f>
        <v>-1.03610743824122i</v>
      </c>
      <c r="N195" s="7" t="str">
        <f aca="false">COMPLEX(1,0)</f>
        <v>1</v>
      </c>
      <c r="O195" s="7" t="str">
        <f aca="false">IMSUM(IMPRODUCT(K195,O194),IMPRODUCT(L195,Q194))</f>
        <v>-6.12078431394652+6.15316166631792i</v>
      </c>
      <c r="P195" s="7" t="str">
        <f aca="false">IMSUM(IMPRODUCT(K195,P194),IMPRODUCT(L195,R194))</f>
        <v>-0.77981440854837-8.43616791337926i</v>
      </c>
      <c r="Q195" s="7" t="str">
        <f aca="false">IMSUM(IMPRODUCT(M195,O194),IMPRODUCT(N195,Q194))</f>
        <v>10.0617788972003+4.57128795925727i</v>
      </c>
      <c r="R195" s="7" t="str">
        <f aca="false">IMSUM(IMPRODUCT(M195,P194),IMPRODUCT(N195,R194))</f>
        <v>-9.80241034189809+4.59610982908593i</v>
      </c>
    </row>
    <row r="196" customFormat="false" ht="15" hidden="false" customHeight="false" outlineLevel="0" collapsed="false">
      <c r="A196" s="7" t="s">
        <v>66</v>
      </c>
      <c r="B196" s="7" t="s">
        <v>42</v>
      </c>
      <c r="C196" s="10" t="n">
        <f aca="false">P184/6</f>
        <v>0.858495196324144</v>
      </c>
      <c r="K196" s="7" t="str">
        <f aca="false">COMPLEX(1,0)</f>
        <v>1</v>
      </c>
      <c r="L196" s="7" t="str">
        <f aca="false">COMPLEX(-C196,0)</f>
        <v>-0.858495196324144</v>
      </c>
      <c r="M196" s="7" t="str">
        <f aca="false">COMPLEX(0,0)</f>
        <v>0</v>
      </c>
      <c r="N196" s="7" t="str">
        <f aca="false">COMPLEX(1,0)</f>
        <v>1</v>
      </c>
      <c r="O196" s="7" t="str">
        <f aca="false">IMSUM(IMPRODUCT(K196,O195),IMPRODUCT(L196,Q195))</f>
        <v>-14.7587731636686+2.22873291228115i</v>
      </c>
      <c r="P196" s="7" t="str">
        <f aca="false">IMSUM(IMPRODUCT(K196,P195),IMPRODUCT(L196,R195))</f>
        <v>7.63550778236925-12.3819061234277i</v>
      </c>
      <c r="Q196" s="7" t="str">
        <f aca="false">IMSUM(IMPRODUCT(M196,O195),IMPRODUCT(N196,Q195))</f>
        <v>10.0617788972003+4.57128795925727i</v>
      </c>
      <c r="R196" s="7" t="str">
        <f aca="false">IMSUM(IMPRODUCT(M196,P195),IMPRODUCT(N196,R195))</f>
        <v>-9.80241034189809+4.59610982908593i</v>
      </c>
    </row>
    <row r="197" customFormat="false" ht="15" hidden="false" customHeight="false" outlineLevel="0" collapsed="false">
      <c r="A197" s="7" t="s">
        <v>71</v>
      </c>
      <c r="B197" s="7" t="s">
        <v>65</v>
      </c>
      <c r="C197" s="10" t="n">
        <f aca="false">INDEX(Classes!$B$5:$F$9,MATCH(Engine!$C$170,Classes!$A$5:$A$9,0),1)*(N184*1000)</f>
        <v>7123.75</v>
      </c>
      <c r="K197" s="7" t="str">
        <f aca="false">COMPLEX(1,0)</f>
        <v>1</v>
      </c>
      <c r="L197" s="7" t="str">
        <f aca="false">COMPLEX(0,0)</f>
        <v>0</v>
      </c>
      <c r="M197" s="7" t="str">
        <f aca="false">COMPLEX(0,-(2*PI()/($B$2*3600))*C197)</f>
        <v>-0.518053719120608i</v>
      </c>
      <c r="N197" s="7" t="str">
        <f aca="false">COMPLEX(1,0)</f>
        <v>1</v>
      </c>
      <c r="O197" s="7" t="str">
        <f aca="false">IMSUM(IMPRODUCT(K197,O196),IMPRODUCT(L197,Q196))</f>
        <v>-14.7587731636686+2.22873291228115i</v>
      </c>
      <c r="P197" s="7" t="str">
        <f aca="false">IMSUM(IMPRODUCT(K197,P196),IMPRODUCT(L197,R196))</f>
        <v>7.63550778236925-12.3819061234277i</v>
      </c>
      <c r="Q197" s="7" t="str">
        <f aca="false">IMSUM(IMPRODUCT(M197,O196),IMPRODUCT(N197,Q196))</f>
        <v>11.216382271334+12.2171252863532i</v>
      </c>
      <c r="R197" s="7" t="str">
        <f aca="false">IMSUM(IMPRODUCT(M197,P196),IMPRODUCT(N197,R196))</f>
        <v>-16.216902858942+0.64050662505519i</v>
      </c>
    </row>
    <row r="198" customFormat="false" ht="15" hidden="false" customHeight="false" outlineLevel="0" collapsed="false">
      <c r="A198" s="7" t="s">
        <v>72</v>
      </c>
      <c r="B198" s="7" t="s">
        <v>73</v>
      </c>
      <c r="K198" s="7" t="str">
        <f aca="false">K182</f>
        <v>1</v>
      </c>
      <c r="L198" s="7" t="str">
        <f aca="false">L182</f>
        <v>-0</v>
      </c>
      <c r="M198" s="7" t="str">
        <f aca="false">M182</f>
        <v>0</v>
      </c>
      <c r="N198" s="7" t="str">
        <f aca="false">N182</f>
        <v>1</v>
      </c>
      <c r="O198" s="7" t="str">
        <f aca="false">IMSUM(IMPRODUCT(K198,O197),IMPRODUCT(L198,Q197))</f>
        <v>-14.7587731636686+2.22873291228115i</v>
      </c>
      <c r="P198" s="7" t="str">
        <f aca="false">IMSUM(IMPRODUCT(K198,P197),IMPRODUCT(L198,R197))</f>
        <v>7.63550778236925-12.3819061234277i</v>
      </c>
      <c r="Q198" s="7" t="str">
        <f aca="false">IMSUM(IMPRODUCT(M198,O197),IMPRODUCT(N198,Q197))</f>
        <v>11.216382271334+12.2171252863532i</v>
      </c>
      <c r="R198" s="7" t="str">
        <f aca="false">IMSUM(IMPRODUCT(M198,P197),IMPRODUCT(N198,R197))</f>
        <v>-16.216902858942+0.64050662505519i</v>
      </c>
    </row>
    <row r="199" customFormat="false" ht="15" hidden="false" customHeight="false" outlineLevel="0" collapsed="false">
      <c r="A199" s="7" t="s">
        <v>52</v>
      </c>
      <c r="B199" s="7" t="s">
        <v>73</v>
      </c>
      <c r="K199" s="7" t="str">
        <f aca="false">K183</f>
        <v>1</v>
      </c>
      <c r="L199" s="7" t="str">
        <f aca="false">L183</f>
        <v>-0.04</v>
      </c>
      <c r="M199" s="7" t="str">
        <f aca="false">M183</f>
        <v>0</v>
      </c>
      <c r="N199" s="7" t="str">
        <f aca="false">N183</f>
        <v>1</v>
      </c>
      <c r="O199" s="7" t="str">
        <f aca="false">IMSUM(IMPRODUCT(K199,O198),IMPRODUCT(L199,Q198))</f>
        <v>-15.207428454522+1.74004790082702i</v>
      </c>
      <c r="P199" s="7" t="str">
        <f aca="false">IMSUM(IMPRODUCT(K199,P198),IMPRODUCT(L199,R198))</f>
        <v>8.28418389672693-12.4075263884299i</v>
      </c>
      <c r="Q199" s="7" t="str">
        <f aca="false">IMSUM(IMPRODUCT(M199,O198),IMPRODUCT(N199,Q198))</f>
        <v>11.216382271334+12.2171252863532i</v>
      </c>
      <c r="R199" s="7" t="str">
        <f aca="false">IMSUM(IMPRODUCT(M199,P198),IMPRODUCT(N199,R198))</f>
        <v>-16.216902858942+0.64050662505519i</v>
      </c>
    </row>
    <row r="200" customFormat="false" ht="15" hidden="false" customHeight="false" outlineLevel="0" collapsed="false">
      <c r="A200" s="9" t="s">
        <v>74</v>
      </c>
      <c r="B200" s="13" t="n">
        <f aca="false">IMABS(IMDIV(IMPRODUCT(O199,COMPLEX(-1,0)),P199))</f>
        <v>1.02598884033376</v>
      </c>
    </row>
    <row r="203" customFormat="false" ht="15" hidden="false" customHeight="false" outlineLevel="0" collapsed="false">
      <c r="A203" s="4" t="s">
        <v>90</v>
      </c>
      <c r="B203" s="9" t="s">
        <v>18</v>
      </c>
      <c r="C203" s="7" t="str">
        <f aca="false">INDEX(Library!$F$5:$F$34,MATCH(A203,Library!$A$5:$A$34,0))</f>
        <v>IE</v>
      </c>
    </row>
    <row r="204" customFormat="false" ht="15" hidden="false" customHeight="false" outlineLevel="0" collapsed="false">
      <c r="A204" s="4" t="s">
        <v>91</v>
      </c>
      <c r="T204" s="9" t="s">
        <v>20</v>
      </c>
      <c r="U204" s="7" t="n">
        <f aca="false">MATCH($A$203,Library!$A$5:$A$34,0)</f>
        <v>7</v>
      </c>
      <c r="V204" s="9" t="s">
        <v>21</v>
      </c>
      <c r="W204" s="7" t="str">
        <f aca="false">INDEX(Library!$D$5:$D$34,$U$204)</f>
        <v>ext</v>
      </c>
      <c r="X204" s="9" t="s">
        <v>22</v>
      </c>
      <c r="Y204" s="7" t="n">
        <f aca="false">INDEX(Library!$E$5:$E$34,$U$204)</f>
        <v>0.13</v>
      </c>
    </row>
    <row r="205" customFormat="false" ht="15" hidden="false" customHeight="false" outlineLevel="0" collapsed="false">
      <c r="A205" s="9"/>
      <c r="B205" s="9" t="s">
        <v>23</v>
      </c>
      <c r="C205" s="9" t="s">
        <v>24</v>
      </c>
      <c r="D205" s="9" t="s">
        <v>25</v>
      </c>
      <c r="E205" s="9" t="s">
        <v>26</v>
      </c>
      <c r="F205" s="9" t="s">
        <v>27</v>
      </c>
      <c r="G205" s="9" t="s">
        <v>28</v>
      </c>
      <c r="H205" s="9" t="s">
        <v>29</v>
      </c>
      <c r="I205" s="9" t="s">
        <v>30</v>
      </c>
      <c r="J205" s="9" t="s">
        <v>31</v>
      </c>
      <c r="K205" s="9" t="s">
        <v>32</v>
      </c>
      <c r="L205" s="9" t="s">
        <v>33</v>
      </c>
      <c r="M205" s="9" t="s">
        <v>34</v>
      </c>
      <c r="N205" s="9" t="s">
        <v>35</v>
      </c>
      <c r="O205" s="9" t="s">
        <v>36</v>
      </c>
      <c r="P205" s="9" t="s">
        <v>37</v>
      </c>
      <c r="Q205" s="9" t="s">
        <v>38</v>
      </c>
      <c r="R205" s="9" t="s">
        <v>39</v>
      </c>
      <c r="S205" s="9" t="s">
        <v>40</v>
      </c>
      <c r="T205" s="9" t="s">
        <v>41</v>
      </c>
    </row>
    <row r="206" customFormat="false" ht="15" hidden="false" customHeight="false" outlineLevel="0" collapsed="false">
      <c r="A206" s="7" t="s">
        <v>22</v>
      </c>
      <c r="B206" s="7" t="s">
        <v>42</v>
      </c>
      <c r="H206" s="10" t="n">
        <f aca="false">$Y$204</f>
        <v>0.13</v>
      </c>
      <c r="I206" s="11" t="n">
        <f aca="false">IF(B206="mass",SQRT(E206*($B$2*3600)/(PI()*F206*G206)),0)</f>
        <v>0</v>
      </c>
      <c r="J206" s="10" t="n">
        <f aca="false">IF(B206="mass",D206/I206,0)</f>
        <v>0</v>
      </c>
      <c r="K206" s="7" t="str">
        <f aca="false">IF(B206="mass",COMPLEX(COSH(J206)*COS(J206),SINH(J206)*SIN(J206)),COMPLEX(1,0))</f>
        <v>1</v>
      </c>
      <c r="L206" s="7" t="str">
        <f aca="false">IF(B206="mass",COMPLEX(-I206/(2*E206)*(SINH(J206)*COS(J206)+COSH(J206)*SIN(J206)),-I206/(2*E206)*(COSH(J206)*SIN(J206)-SINH(J206)*COS(J206))),COMPLEX(-H206,0))</f>
        <v>-0.13</v>
      </c>
      <c r="M206" s="7" t="str">
        <f aca="false">IF(B206="mass",COMPLEX(-E206/I206*(SINH(J206)*COS(J206)-COSH(J206)*SIN(J206)),-E206/I206*(SINH(J206)*COS(J206)+COSH(J206)*SIN(J206))),COMPLEX(0,0))</f>
        <v>0</v>
      </c>
      <c r="N206" s="7" t="str">
        <f aca="false">K206</f>
        <v>1</v>
      </c>
      <c r="O206" s="7" t="str">
        <f aca="false">K206</f>
        <v>1</v>
      </c>
      <c r="P206" s="7" t="str">
        <f aca="false">L206</f>
        <v>-0.13</v>
      </c>
      <c r="Q206" s="7" t="str">
        <f aca="false">M206</f>
        <v>0</v>
      </c>
      <c r="R206" s="7" t="str">
        <f aca="false">N206</f>
        <v>1</v>
      </c>
      <c r="S206" s="10" t="n">
        <f aca="false">IF(B206="mass",D206/E206,H206)</f>
        <v>0.13</v>
      </c>
      <c r="T206" s="12" t="n">
        <f aca="false">IF(B206="mass",F206*G206*D206,0)</f>
        <v>0</v>
      </c>
    </row>
    <row r="207" customFormat="false" ht="15" hidden="false" customHeight="false" outlineLevel="0" collapsed="false">
      <c r="A207" s="7" t="s">
        <v>43</v>
      </c>
      <c r="B207" s="7" t="str">
        <f aca="false">IF(C207="","none",IF(C207="Cavity","res","mass"))</f>
        <v>mass</v>
      </c>
      <c r="C207" s="7" t="str">
        <f aca="false">IF(INDEX(Library!$G$5:$G$34,$U$204)="","",INDEX(Library!$G$5:$G$34,$U$204))</f>
        <v>plasterboard</v>
      </c>
      <c r="D207" s="11" t="n">
        <f aca="false">IF(B207="mass",INDEX(Library!$H$5:$H$34,$U$204)/1000,0)</f>
        <v>0.0125</v>
      </c>
      <c r="E207" s="7" t="n">
        <f aca="false">IF(B207="mass",INDEX(Materials!$B$5:$B$28,MATCH(C207,Materials!$A$5:$A$28,0)),0)</f>
        <v>0.21</v>
      </c>
      <c r="F207" s="7" t="n">
        <f aca="false">IF(B207="mass",INDEX(Materials!$C$5:$C$28,MATCH(C207,Materials!$A$5:$A$28,0)),0)</f>
        <v>700</v>
      </c>
      <c r="G207" s="7" t="n">
        <f aca="false">IF(B207="mass",INDEX(Materials!$D$5:$D$28,MATCH(C207,Materials!$A$5:$A$28,0)),0)</f>
        <v>1000</v>
      </c>
      <c r="H207" s="10" t="n">
        <f aca="false">IF(B207="res",INDEX(Library!$H$5:$H$34,$U$204),0)</f>
        <v>0</v>
      </c>
      <c r="I207" s="11" t="n">
        <f aca="false">IF(B207="mass",SQRT(E207*($B$2*3600)/(PI()*F207*G207)),0)</f>
        <v>0.0908327707927258</v>
      </c>
      <c r="J207" s="10" t="n">
        <f aca="false">IF(B207="mass",D207/I207,0)</f>
        <v>0.137615531166875</v>
      </c>
      <c r="K207" s="7" t="str">
        <f aca="false">IF(B207="mass",COMPLEX(COSH(J207)*COS(J207),SINH(J207)*SIN(J207)),COMPLEX(1,0))</f>
        <v>0.999940225193105+0.0189379589504749i</v>
      </c>
      <c r="L207" s="7" t="str">
        <f aca="false">IF(B207="mass",COMPLEX(-I207/(2*E207)*(SINH(J207)*COS(J207)+COSH(J207)*SIN(J207)),-I207/(2*E207)*(COSH(J207)*SIN(J207)-SINH(J207)*COS(J207))),COMPLEX(-H207,0))</f>
        <v>-0.0595230979186955-0.000375754009423939i</v>
      </c>
      <c r="M207" s="7" t="str">
        <f aca="false">IF(B207="mass",COMPLEX(-E207/I207*(SINH(J207)*COS(J207)-COSH(J207)*SIN(J207)),-E207/I207*(SINH(J207)*COS(J207)+COSH(J207)*SIN(J207))),COMPLEX(0,0))</f>
        <v>0.00401686359323574-0.636310349296785i</v>
      </c>
      <c r="N207" s="7" t="str">
        <f aca="false">K207</f>
        <v>0.999940225193105+0.0189379589504749i</v>
      </c>
      <c r="O207" s="7" t="str">
        <f aca="false">IMSUM(IMPRODUCT(K207,O206),IMPRODUCT(L207,Q206))</f>
        <v>0.999940225193105+0.0189379589504749i</v>
      </c>
      <c r="P207" s="7" t="str">
        <f aca="false">IMSUM(IMPRODUCT(K207,P206),IMPRODUCT(L207,R206))</f>
        <v>-0.1895153271938-0.00283768867298567i</v>
      </c>
      <c r="Q207" s="7" t="str">
        <f aca="false">IMSUM(IMPRODUCT(M207,O206),IMPRODUCT(N207,Q206))</f>
        <v>0.00401686359323574-0.636310349296785i</v>
      </c>
      <c r="R207" s="7" t="str">
        <f aca="false">IMSUM(IMPRODUCT(M207,P206),IMPRODUCT(N207,R206))</f>
        <v>0.999418032925984+0.101658304359057i</v>
      </c>
      <c r="S207" s="10" t="n">
        <f aca="false">IF(B207="mass",D207/E207,H207)</f>
        <v>0.0595238095238095</v>
      </c>
      <c r="T207" s="12" t="n">
        <f aca="false">IF(B207="mass",F207*G207*D207,0)</f>
        <v>8750</v>
      </c>
    </row>
    <row r="208" customFormat="false" ht="15" hidden="false" customHeight="false" outlineLevel="0" collapsed="false">
      <c r="A208" s="7" t="s">
        <v>44</v>
      </c>
      <c r="B208" s="7" t="str">
        <f aca="false">IF(C208="","none",IF(C208="Cavity","res","mass"))</f>
        <v>res</v>
      </c>
      <c r="C208" s="7" t="str">
        <f aca="false">IF(INDEX(Library!$I$5:$I$34,$U$204)="","",INDEX(Library!$I$5:$I$34,$U$204))</f>
        <v>Cavity</v>
      </c>
      <c r="D208" s="11" t="n">
        <f aca="false">IF(B208="mass",INDEX(Library!$J$5:$J$34,$U$204)/1000,0)</f>
        <v>0</v>
      </c>
      <c r="E208" s="7" t="n">
        <f aca="false">IF(B208="mass",INDEX(Materials!$B$5:$B$28,MATCH(C208,Materials!$A$5:$A$28,0)),0)</f>
        <v>0</v>
      </c>
      <c r="F208" s="7" t="n">
        <f aca="false">IF(B208="mass",INDEX(Materials!$C$5:$C$28,MATCH(C208,Materials!$A$5:$A$28,0)),0)</f>
        <v>0</v>
      </c>
      <c r="G208" s="7" t="n">
        <f aca="false">IF(B208="mass",INDEX(Materials!$D$5:$D$28,MATCH(C208,Materials!$A$5:$A$28,0)),0)</f>
        <v>0</v>
      </c>
      <c r="H208" s="10" t="n">
        <f aca="false">IF(B208="res",INDEX(Library!$J$5:$J$34,$U$204),0)</f>
        <v>0.17</v>
      </c>
      <c r="I208" s="11" t="n">
        <f aca="false">IF(B208="mass",SQRT(E208*($B$2*3600)/(PI()*F208*G208)),0)</f>
        <v>0</v>
      </c>
      <c r="J208" s="10" t="n">
        <f aca="false">IF(B208="mass",D208/I208,0)</f>
        <v>0</v>
      </c>
      <c r="K208" s="7" t="str">
        <f aca="false">IF(B208="mass",COMPLEX(COSH(J208)*COS(J208),SINH(J208)*SIN(J208)),COMPLEX(1,0))</f>
        <v>1</v>
      </c>
      <c r="L208" s="7" t="str">
        <f aca="false">IF(B208="mass",COMPLEX(-I208/(2*E208)*(SINH(J208)*COS(J208)+COSH(J208)*SIN(J208)),-I208/(2*E208)*(COSH(J208)*SIN(J208)-SINH(J208)*COS(J208))),COMPLEX(-H208,0))</f>
        <v>-0.17</v>
      </c>
      <c r="M208" s="7" t="str">
        <f aca="false">IF(B208="mass",COMPLEX(-E208/I208*(SINH(J208)*COS(J208)-COSH(J208)*SIN(J208)),-E208/I208*(SINH(J208)*COS(J208)+COSH(J208)*SIN(J208))),COMPLEX(0,0))</f>
        <v>0</v>
      </c>
      <c r="N208" s="7" t="str">
        <f aca="false">K208</f>
        <v>1</v>
      </c>
      <c r="O208" s="7" t="str">
        <f aca="false">IMSUM(IMPRODUCT(K208,O207),IMPRODUCT(L208,Q207))</f>
        <v>0.999257358382255+0.127110718330928i</v>
      </c>
      <c r="P208" s="7" t="str">
        <f aca="false">IMSUM(IMPRODUCT(K208,P207),IMPRODUCT(L208,R207))</f>
        <v>-0.359416392791217-0.0201196004140254i</v>
      </c>
      <c r="Q208" s="7" t="str">
        <f aca="false">IMSUM(IMPRODUCT(M208,O207),IMPRODUCT(N208,Q207))</f>
        <v>0.00401686359323574-0.636310349296785i</v>
      </c>
      <c r="R208" s="7" t="str">
        <f aca="false">IMSUM(IMPRODUCT(M208,P207),IMPRODUCT(N208,R207))</f>
        <v>0.999418032925984+0.101658304359057i</v>
      </c>
      <c r="S208" s="10" t="n">
        <f aca="false">IF(B208="mass",D208/E208,H208)</f>
        <v>0.17</v>
      </c>
      <c r="T208" s="12" t="n">
        <f aca="false">IF(B208="mass",F208*G208*D208,0)</f>
        <v>0</v>
      </c>
    </row>
    <row r="209" customFormat="false" ht="15" hidden="false" customHeight="false" outlineLevel="0" collapsed="false">
      <c r="A209" s="7" t="s">
        <v>45</v>
      </c>
      <c r="B209" s="7" t="str">
        <f aca="false">IF(C209="","none",IF(C209="Cavity","res","mass"))</f>
        <v>mass</v>
      </c>
      <c r="C209" s="7" t="str">
        <f aca="false">IF(INDEX(Library!$K$5:$K$34,$U$204)="","",INDEX(Library!$K$5:$K$34,$U$204))</f>
        <v>OSB</v>
      </c>
      <c r="D209" s="11" t="n">
        <f aca="false">IF(B209="mass",INDEX(Library!$L$5:$L$34,$U$204)/1000,0)</f>
        <v>0.015</v>
      </c>
      <c r="E209" s="7" t="n">
        <f aca="false">IF(B209="mass",INDEX(Materials!$B$5:$B$28,MATCH(C209,Materials!$A$5:$A$28,0)),0)</f>
        <v>0.13</v>
      </c>
      <c r="F209" s="7" t="n">
        <f aca="false">IF(B209="mass",INDEX(Materials!$C$5:$C$28,MATCH(C209,Materials!$A$5:$A$28,0)),0)</f>
        <v>650</v>
      </c>
      <c r="G209" s="7" t="n">
        <f aca="false">IF(B209="mass",INDEX(Materials!$D$5:$D$28,MATCH(C209,Materials!$A$5:$A$28,0)),0)</f>
        <v>1700</v>
      </c>
      <c r="H209" s="10" t="n">
        <f aca="false">IF(B209="res",INDEX(Library!$L$5:$L$34,$U$204),0)</f>
        <v>0</v>
      </c>
      <c r="I209" s="11" t="n">
        <f aca="false">IF(B209="mass",SQRT(E209*($B$2*3600)/(PI()*F209*G209)),0)</f>
        <v>0.0568816874969746</v>
      </c>
      <c r="J209" s="10" t="n">
        <f aca="false">IF(B209="mass",D209/I209,0)</f>
        <v>0.263705256648685</v>
      </c>
      <c r="K209" s="7" t="str">
        <f aca="false">IF(B209="mass",COMPLEX(COSH(J209)*COS(J209),SINH(J209)*SIN(J209)),COMPLEX(1,0))</f>
        <v>0.999194029961923+0.0695367258535264i</v>
      </c>
      <c r="L209" s="7" t="str">
        <f aca="false">IF(B209="mass",COMPLEX(-I209/(2*E209)*(SINH(J209)*COS(J209)+COSH(J209)*SIN(J209)),-I209/(2*E209)*(COSH(J209)*SIN(J209)-SINH(J209)*COS(J209))),COMPLEX(-H209,0))</f>
        <v>-0.115366015980865-0.00267457157737105i</v>
      </c>
      <c r="M209" s="7" t="str">
        <f aca="false">IF(B209="mass",COMPLEX(-E209/I209*(SINH(J209)*COS(J209)-COSH(J209)*SIN(J209)),-E209/I209*(SINH(J209)*COS(J209)+COSH(J209)*SIN(J209))),COMPLEX(0,0))</f>
        <v>0.0279399729464096-1.20517371556335i</v>
      </c>
      <c r="N209" s="7" t="str">
        <f aca="false">K209</f>
        <v>0.999194029961923+0.0695367258535264i</v>
      </c>
      <c r="O209" s="7" t="str">
        <f aca="false">IMSUM(IMPRODUCT(K209,O208),IMPRODUCT(L209,Q208))</f>
        <v>0.987447856593341+0.269891202423947i</v>
      </c>
      <c r="P209" s="7" t="str">
        <f aca="false">IMSUM(IMPRODUCT(K209,P208),IMPRODUCT(L209,R208))</f>
        <v>-0.472754647155822-0.0594969524217504i</v>
      </c>
      <c r="Q209" s="7" t="str">
        <f aca="false">IMSUM(IMPRODUCT(M209,O208),IMPRODUCT(N209,Q208))</f>
        <v>0.229370284696857-1.83624541605206i</v>
      </c>
      <c r="R209" s="7" t="str">
        <f aca="false">IMSUM(IMPRODUCT(M209,P208),IMPRODUCT(N209,R208))</f>
        <v>0.957253848417278+0.603669677023574i</v>
      </c>
      <c r="S209" s="10" t="n">
        <f aca="false">IF(B209="mass",D209/E209,H209)</f>
        <v>0.115384615384615</v>
      </c>
      <c r="T209" s="12" t="n">
        <f aca="false">IF(B209="mass",F209*G209*D209,0)</f>
        <v>16575</v>
      </c>
    </row>
    <row r="210" customFormat="false" ht="15" hidden="false" customHeight="false" outlineLevel="0" collapsed="false">
      <c r="A210" s="7" t="s">
        <v>46</v>
      </c>
      <c r="B210" s="7" t="str">
        <f aca="false">IF(C210="","none",IF(C210="Cavity","res","mass"))</f>
        <v>mass</v>
      </c>
      <c r="C210" s="7" t="str">
        <f aca="false">IF(INDEX(Library!$M$5:$M$34,$U$204)="","",INDEX(Library!$M$5:$M$34,$U$204))</f>
        <v>PIR</v>
      </c>
      <c r="D210" s="11" t="n">
        <f aca="false">IF(B210="mass",INDEX(Library!$N$5:$N$34,$U$204)/1000,0)</f>
        <v>0.142</v>
      </c>
      <c r="E210" s="7" t="n">
        <f aca="false">IF(B210="mass",INDEX(Materials!$B$5:$B$28,MATCH(C210,Materials!$A$5:$A$28,0)),0)</f>
        <v>0.022</v>
      </c>
      <c r="F210" s="7" t="n">
        <f aca="false">IF(B210="mass",INDEX(Materials!$C$5:$C$28,MATCH(C210,Materials!$A$5:$A$28,0)),0)</f>
        <v>30</v>
      </c>
      <c r="G210" s="7" t="n">
        <f aca="false">IF(B210="mass",INDEX(Materials!$D$5:$D$28,MATCH(C210,Materials!$A$5:$A$28,0)),0)</f>
        <v>1400</v>
      </c>
      <c r="H210" s="10" t="n">
        <f aca="false">IF(B210="res",INDEX(Library!$N$5:$N$34,$U$204),0)</f>
        <v>0</v>
      </c>
      <c r="I210" s="11" t="n">
        <f aca="false">IF(B210="mass",SQRT(E210*($B$2*3600)/(PI()*F210*G210)),0)</f>
        <v>0.120024147536488</v>
      </c>
      <c r="J210" s="10" t="n">
        <f aca="false">IF(B210="mass",D210/I210,0)</f>
        <v>1.18309525970039</v>
      </c>
      <c r="K210" s="7" t="str">
        <f aca="false">IF(B210="mass",COMPLEX(COSH(J210)*COS(J210),SINH(J210)*SIN(J210)),COMPLEX(1,0))</f>
        <v>0.674988798990129+1.36929152380303i</v>
      </c>
      <c r="L210" s="7" t="str">
        <f aca="false">IF(B210="mass",COMPLEX(-I210/(2*E210)*(SINH(J210)*COS(J210)+COSH(J210)*SIN(J210)),-I210/(2*E210)*(COSH(J210)*SIN(J210)-SINH(J210)*COS(J210))),COMPLEX(-H210,0))</f>
        <v>-6.03411242131346-2.98343859040311i</v>
      </c>
      <c r="M210" s="7" t="str">
        <f aca="false">IF(B210="mass",COMPLEX(-E210/I210*(SINH(J210)*COS(J210)-COSH(J210)*SIN(J210)),-E210/I210*(SINH(J210)*COS(J210)+COSH(J210)*SIN(J210))),COMPLEX(0,0))</f>
        <v>0.200472681769332-0.405463247371518i</v>
      </c>
      <c r="N210" s="7" t="str">
        <f aca="false">K210</f>
        <v>0.674988798990129+1.36929152380303i</v>
      </c>
      <c r="O210" s="7" t="str">
        <f aca="false">IMSUM(IMPRODUCT(K210,O209),IMPRODUCT(L210,Q209))</f>
        <v>-6.56541501271084+11.9300766335362i</v>
      </c>
      <c r="P210" s="7" t="str">
        <f aca="false">IMSUM(IMPRODUCT(K210,P209),IMPRODUCT(L210,R209))</f>
        <v>-4.212801345654-7.18601747632592i</v>
      </c>
      <c r="Q210" s="7" t="str">
        <f aca="false">IMSUM(IMPRODUCT(M210,O209),IMPRODUCT(N210,Q209))</f>
        <v>2.97656494010427-1.27163830279292i</v>
      </c>
      <c r="R210" s="7" t="str">
        <f aca="false">IMSUM(IMPRODUCT(M210,P209),IMPRODUCT(N210,R209))</f>
        <v>-0.299362365925309+1.8979869718832i</v>
      </c>
      <c r="S210" s="10" t="n">
        <f aca="false">IF(B210="mass",D210/E210,H210)</f>
        <v>6.45454545454545</v>
      </c>
      <c r="T210" s="12" t="n">
        <f aca="false">IF(B210="mass",F210*G210*D210,0)</f>
        <v>5964</v>
      </c>
    </row>
    <row r="211" customFormat="false" ht="15" hidden="false" customHeight="false" outlineLevel="0" collapsed="false">
      <c r="A211" s="7" t="s">
        <v>47</v>
      </c>
      <c r="B211" s="7" t="str">
        <f aca="false">IF(C211="","none",IF(C211="Cavity","res","mass"))</f>
        <v>mass</v>
      </c>
      <c r="C211" s="7" t="str">
        <f aca="false">IF(INDEX(Library!$O$5:$O$34,$U$204)="","",INDEX(Library!$O$5:$O$34,$U$204))</f>
        <v>OSB</v>
      </c>
      <c r="D211" s="11" t="n">
        <f aca="false">IF(B211="mass",INDEX(Library!$P$5:$P$34,$U$204)/1000,0)</f>
        <v>0.015</v>
      </c>
      <c r="E211" s="7" t="n">
        <f aca="false">IF(B211="mass",INDEX(Materials!$B$5:$B$28,MATCH(C211,Materials!$A$5:$A$28,0)),0)</f>
        <v>0.13</v>
      </c>
      <c r="F211" s="7" t="n">
        <f aca="false">IF(B211="mass",INDEX(Materials!$C$5:$C$28,MATCH(C211,Materials!$A$5:$A$28,0)),0)</f>
        <v>650</v>
      </c>
      <c r="G211" s="7" t="n">
        <f aca="false">IF(B211="mass",INDEX(Materials!$D$5:$D$28,MATCH(C211,Materials!$A$5:$A$28,0)),0)</f>
        <v>1700</v>
      </c>
      <c r="H211" s="10" t="n">
        <f aca="false">IF(B211="res",INDEX(Library!$P$5:$P$34,$U$204),0)</f>
        <v>0</v>
      </c>
      <c r="I211" s="11" t="n">
        <f aca="false">IF(B211="mass",SQRT(E211*($B$2*3600)/(PI()*F211*G211)),0)</f>
        <v>0.0568816874969746</v>
      </c>
      <c r="J211" s="10" t="n">
        <f aca="false">IF(B211="mass",D211/I211,0)</f>
        <v>0.263705256648685</v>
      </c>
      <c r="K211" s="7" t="str">
        <f aca="false">IF(B211="mass",COMPLEX(COSH(J211)*COS(J211),SINH(J211)*SIN(J211)),COMPLEX(1,0))</f>
        <v>0.999194029961923+0.0695367258535264i</v>
      </c>
      <c r="L211" s="7" t="str">
        <f aca="false">IF(B211="mass",COMPLEX(-I211/(2*E211)*(SINH(J211)*COS(J211)+COSH(J211)*SIN(J211)),-I211/(2*E211)*(COSH(J211)*SIN(J211)-SINH(J211)*COS(J211))),COMPLEX(-H211,0))</f>
        <v>-0.115366015980865-0.00267457157737105i</v>
      </c>
      <c r="M211" s="7" t="str">
        <f aca="false">IF(B211="mass",COMPLEX(-E211/I211*(SINH(J211)*COS(J211)-COSH(J211)*SIN(J211)),-E211/I211*(SINH(J211)*COS(J211)+COSH(J211)*SIN(J211))),COMPLEX(0,0))</f>
        <v>0.0279399729464096-1.20517371556335i</v>
      </c>
      <c r="N211" s="7" t="str">
        <f aca="false">K211</f>
        <v>0.999194029961923+0.0695367258535264i</v>
      </c>
      <c r="O211" s="7" t="str">
        <f aca="false">IMSUM(IMPRODUCT(K211,O210),IMPRODUCT(L211,Q210))</f>
        <v>-7.73649747931032+11.602666694139i</v>
      </c>
      <c r="P211" s="7" t="str">
        <f aca="false">IMSUM(IMPRODUCT(K211,P210),IMPRODUCT(L211,R210))</f>
        <v>-3.67010128126248-7.69133270304952i</v>
      </c>
      <c r="Q211" s="7" t="str">
        <f aca="false">IMSUM(IMPRODUCT(M211,O210),IMPRODUCT(N211,Q210))</f>
        <v>17.2569687475495+7.18215880327737i</v>
      </c>
      <c r="R211" s="7" t="str">
        <f aca="false">IMSUM(IMPRODUCT(M211,P210),IMPRODUCT(N211,R210))</f>
        <v>-9.2092058262383+6.75202088927213i</v>
      </c>
      <c r="S211" s="10" t="n">
        <f aca="false">IF(B211="mass",D211/E211,H211)</f>
        <v>0.115384615384615</v>
      </c>
      <c r="T211" s="12" t="n">
        <f aca="false">IF(B211="mass",F211*G211*D211,0)</f>
        <v>16575</v>
      </c>
    </row>
    <row r="212" customFormat="false" ht="15" hidden="false" customHeight="false" outlineLevel="0" collapsed="false">
      <c r="A212" s="7" t="s">
        <v>48</v>
      </c>
      <c r="B212" s="7" t="str">
        <f aca="false">IF(C212="","none",IF(C212="Cavity","res","mass"))</f>
        <v>none</v>
      </c>
      <c r="C212" s="7" t="str">
        <f aca="false">IF(INDEX(Library!$Q$5:$Q$34,$U$204)="","",INDEX(Library!$Q$5:$Q$34,$U$204))</f>
        <v/>
      </c>
      <c r="D212" s="11" t="n">
        <f aca="false">IF(B212="mass",INDEX(Library!$R$5:$R$34,$U$204)/1000,0)</f>
        <v>0</v>
      </c>
      <c r="E212" s="7" t="n">
        <f aca="false">IF(B212="mass",INDEX(Materials!$B$5:$B$28,MATCH(C212,Materials!$A$5:$A$28,0)),0)</f>
        <v>0</v>
      </c>
      <c r="F212" s="7" t="n">
        <f aca="false">IF(B212="mass",INDEX(Materials!$C$5:$C$28,MATCH(C212,Materials!$A$5:$A$28,0)),0)</f>
        <v>0</v>
      </c>
      <c r="G212" s="7" t="n">
        <f aca="false">IF(B212="mass",INDEX(Materials!$D$5:$D$28,MATCH(C212,Materials!$A$5:$A$28,0)),0)</f>
        <v>0</v>
      </c>
      <c r="H212" s="10" t="n">
        <f aca="false">IF(B212="res",INDEX(Library!$R$5:$R$34,$U$204),0)</f>
        <v>0</v>
      </c>
      <c r="I212" s="11" t="n">
        <f aca="false">IF(B212="mass",SQRT(E212*($B$2*3600)/(PI()*F212*G212)),0)</f>
        <v>0</v>
      </c>
      <c r="J212" s="10" t="n">
        <f aca="false">IF(B212="mass",D212/I212,0)</f>
        <v>0</v>
      </c>
      <c r="K212" s="7" t="str">
        <f aca="false">IF(B212="mass",COMPLEX(COSH(J212)*COS(J212),SINH(J212)*SIN(J212)),COMPLEX(1,0))</f>
        <v>1</v>
      </c>
      <c r="L212" s="7" t="str">
        <f aca="false">IF(B212="mass",COMPLEX(-I212/(2*E212)*(SINH(J212)*COS(J212)+COSH(J212)*SIN(J212)),-I212/(2*E212)*(COSH(J212)*SIN(J212)-SINH(J212)*COS(J212))),COMPLEX(-H212,0))</f>
        <v>-0</v>
      </c>
      <c r="M212" s="7" t="str">
        <f aca="false">IF(B212="mass",COMPLEX(-E212/I212*(SINH(J212)*COS(J212)-COSH(J212)*SIN(J212)),-E212/I212*(SINH(J212)*COS(J212)+COSH(J212)*SIN(J212))),COMPLEX(0,0))</f>
        <v>0</v>
      </c>
      <c r="N212" s="7" t="str">
        <f aca="false">K212</f>
        <v>1</v>
      </c>
      <c r="O212" s="7" t="str">
        <f aca="false">IMSUM(IMPRODUCT(K212,O211),IMPRODUCT(L212,Q211))</f>
        <v>-7.73649747931032+11.602666694139i</v>
      </c>
      <c r="P212" s="7" t="str">
        <f aca="false">IMSUM(IMPRODUCT(K212,P211),IMPRODUCT(L212,R211))</f>
        <v>-3.67010128126248-7.69133270304952i</v>
      </c>
      <c r="Q212" s="7" t="str">
        <f aca="false">IMSUM(IMPRODUCT(M212,O211),IMPRODUCT(N212,Q211))</f>
        <v>17.2569687475495+7.18215880327737i</v>
      </c>
      <c r="R212" s="7" t="str">
        <f aca="false">IMSUM(IMPRODUCT(M212,P211),IMPRODUCT(N212,R211))</f>
        <v>-9.2092058262383+6.75202088927213i</v>
      </c>
      <c r="S212" s="10" t="n">
        <f aca="false">IF(B212="mass",D212/E212,H212)</f>
        <v>0</v>
      </c>
      <c r="T212" s="12" t="n">
        <f aca="false">IF(B212="mass",F212*G212*D212,0)</f>
        <v>0</v>
      </c>
    </row>
    <row r="213" customFormat="false" ht="15" hidden="false" customHeight="false" outlineLevel="0" collapsed="false">
      <c r="A213" s="7" t="s">
        <v>49</v>
      </c>
      <c r="B213" s="7" t="str">
        <f aca="false">IF(C213="","none",IF(C213="Cavity","res","mass"))</f>
        <v>none</v>
      </c>
      <c r="C213" s="7" t="str">
        <f aca="false">IF(INDEX(Library!$S$5:$S$34,$U$204)="","",INDEX(Library!$S$5:$S$34,$U$204))</f>
        <v/>
      </c>
      <c r="D213" s="11" t="n">
        <f aca="false">IF(B213="mass",INDEX(Library!$T$5:$T$34,$U$204)/1000,0)</f>
        <v>0</v>
      </c>
      <c r="E213" s="7" t="n">
        <f aca="false">IF(B213="mass",INDEX(Materials!$B$5:$B$28,MATCH(C213,Materials!$A$5:$A$28,0)),0)</f>
        <v>0</v>
      </c>
      <c r="F213" s="7" t="n">
        <f aca="false">IF(B213="mass",INDEX(Materials!$C$5:$C$28,MATCH(C213,Materials!$A$5:$A$28,0)),0)</f>
        <v>0</v>
      </c>
      <c r="G213" s="7" t="n">
        <f aca="false">IF(B213="mass",INDEX(Materials!$D$5:$D$28,MATCH(C213,Materials!$A$5:$A$28,0)),0)</f>
        <v>0</v>
      </c>
      <c r="H213" s="10" t="n">
        <f aca="false">IF(B213="res",INDEX(Library!$T$5:$T$34,$U$204),0)</f>
        <v>0</v>
      </c>
      <c r="I213" s="11" t="n">
        <f aca="false">IF(B213="mass",SQRT(E213*($B$2*3600)/(PI()*F213*G213)),0)</f>
        <v>0</v>
      </c>
      <c r="J213" s="10" t="n">
        <f aca="false">IF(B213="mass",D213/I213,0)</f>
        <v>0</v>
      </c>
      <c r="K213" s="7" t="str">
        <f aca="false">IF(B213="mass",COMPLEX(COSH(J213)*COS(J213),SINH(J213)*SIN(J213)),COMPLEX(1,0))</f>
        <v>1</v>
      </c>
      <c r="L213" s="7" t="str">
        <f aca="false">IF(B213="mass",COMPLEX(-I213/(2*E213)*(SINH(J213)*COS(J213)+COSH(J213)*SIN(J213)),-I213/(2*E213)*(COSH(J213)*SIN(J213)-SINH(J213)*COS(J213))),COMPLEX(-H213,0))</f>
        <v>-0</v>
      </c>
      <c r="M213" s="7" t="str">
        <f aca="false">IF(B213="mass",COMPLEX(-E213/I213*(SINH(J213)*COS(J213)-COSH(J213)*SIN(J213)),-E213/I213*(SINH(J213)*COS(J213)+COSH(J213)*SIN(J213))),COMPLEX(0,0))</f>
        <v>0</v>
      </c>
      <c r="N213" s="7" t="str">
        <f aca="false">K213</f>
        <v>1</v>
      </c>
      <c r="O213" s="7" t="str">
        <f aca="false">IMSUM(IMPRODUCT(K213,O212),IMPRODUCT(L213,Q212))</f>
        <v>-7.73649747931032+11.602666694139i</v>
      </c>
      <c r="P213" s="7" t="str">
        <f aca="false">IMSUM(IMPRODUCT(K213,P212),IMPRODUCT(L213,R212))</f>
        <v>-3.67010128126248-7.69133270304952i</v>
      </c>
      <c r="Q213" s="7" t="str">
        <f aca="false">IMSUM(IMPRODUCT(M213,O212),IMPRODUCT(N213,Q212))</f>
        <v>17.2569687475495+7.18215880327737i</v>
      </c>
      <c r="R213" s="7" t="str">
        <f aca="false">IMSUM(IMPRODUCT(M213,P212),IMPRODUCT(N213,R212))</f>
        <v>-9.2092058262383+6.75202088927213i</v>
      </c>
      <c r="S213" s="10" t="n">
        <f aca="false">IF(B213="mass",D213/E213,H213)</f>
        <v>0</v>
      </c>
      <c r="T213" s="12" t="n">
        <f aca="false">IF(B213="mass",F213*G213*D213,0)</f>
        <v>0</v>
      </c>
    </row>
    <row r="214" customFormat="false" ht="15" hidden="false" customHeight="false" outlineLevel="0" collapsed="false">
      <c r="A214" s="7" t="s">
        <v>50</v>
      </c>
      <c r="B214" s="7" t="str">
        <f aca="false">IF(C214="","none",IF(C214="Cavity","res","mass"))</f>
        <v>none</v>
      </c>
      <c r="C214" s="7" t="str">
        <f aca="false">IF(INDEX(Library!$U$5:$U$34,$U$204)="","",INDEX(Library!$U$5:$U$34,$U$204))</f>
        <v/>
      </c>
      <c r="D214" s="11" t="n">
        <f aca="false">IF(B214="mass",INDEX(Library!$V$5:$V$34,$U$204)/1000,0)</f>
        <v>0</v>
      </c>
      <c r="E214" s="7" t="n">
        <f aca="false">IF(B214="mass",INDEX(Materials!$B$5:$B$28,MATCH(C214,Materials!$A$5:$A$28,0)),0)</f>
        <v>0</v>
      </c>
      <c r="F214" s="7" t="n">
        <f aca="false">IF(B214="mass",INDEX(Materials!$C$5:$C$28,MATCH(C214,Materials!$A$5:$A$28,0)),0)</f>
        <v>0</v>
      </c>
      <c r="G214" s="7" t="n">
        <f aca="false">IF(B214="mass",INDEX(Materials!$D$5:$D$28,MATCH(C214,Materials!$A$5:$A$28,0)),0)</f>
        <v>0</v>
      </c>
      <c r="H214" s="10" t="n">
        <f aca="false">IF(B214="res",INDEX(Library!$V$5:$V$34,$U$204),0)</f>
        <v>0</v>
      </c>
      <c r="I214" s="11" t="n">
        <f aca="false">IF(B214="mass",SQRT(E214*($B$2*3600)/(PI()*F214*G214)),0)</f>
        <v>0</v>
      </c>
      <c r="J214" s="10" t="n">
        <f aca="false">IF(B214="mass",D214/I214,0)</f>
        <v>0</v>
      </c>
      <c r="K214" s="7" t="str">
        <f aca="false">IF(B214="mass",COMPLEX(COSH(J214)*COS(J214),SINH(J214)*SIN(J214)),COMPLEX(1,0))</f>
        <v>1</v>
      </c>
      <c r="L214" s="7" t="str">
        <f aca="false">IF(B214="mass",COMPLEX(-I214/(2*E214)*(SINH(J214)*COS(J214)+COSH(J214)*SIN(J214)),-I214/(2*E214)*(COSH(J214)*SIN(J214)-SINH(J214)*COS(J214))),COMPLEX(-H214,0))</f>
        <v>-0</v>
      </c>
      <c r="M214" s="7" t="str">
        <f aca="false">IF(B214="mass",COMPLEX(-E214/I214*(SINH(J214)*COS(J214)-COSH(J214)*SIN(J214)),-E214/I214*(SINH(J214)*COS(J214)+COSH(J214)*SIN(J214))),COMPLEX(0,0))</f>
        <v>0</v>
      </c>
      <c r="N214" s="7" t="str">
        <f aca="false">K214</f>
        <v>1</v>
      </c>
      <c r="O214" s="7" t="str">
        <f aca="false">IMSUM(IMPRODUCT(K214,O213),IMPRODUCT(L214,Q213))</f>
        <v>-7.73649747931032+11.602666694139i</v>
      </c>
      <c r="P214" s="7" t="str">
        <f aca="false">IMSUM(IMPRODUCT(K214,P213),IMPRODUCT(L214,R213))</f>
        <v>-3.67010128126248-7.69133270304952i</v>
      </c>
      <c r="Q214" s="7" t="str">
        <f aca="false">IMSUM(IMPRODUCT(M214,O213),IMPRODUCT(N214,Q213))</f>
        <v>17.2569687475495+7.18215880327737i</v>
      </c>
      <c r="R214" s="7" t="str">
        <f aca="false">IMSUM(IMPRODUCT(M214,P213),IMPRODUCT(N214,R213))</f>
        <v>-9.2092058262383+6.75202088927213i</v>
      </c>
      <c r="S214" s="10" t="n">
        <f aca="false">IF(B214="mass",D214/E214,H214)</f>
        <v>0</v>
      </c>
      <c r="T214" s="12" t="n">
        <f aca="false">IF(B214="mass",F214*G214*D214,0)</f>
        <v>0</v>
      </c>
    </row>
    <row r="215" customFormat="false" ht="15" hidden="false" customHeight="false" outlineLevel="0" collapsed="false">
      <c r="A215" s="7" t="s">
        <v>51</v>
      </c>
      <c r="B215" s="7" t="str">
        <f aca="false">IF($W$204="ground","mass",IF($W$204="adiabatic","res","none"))</f>
        <v>none</v>
      </c>
      <c r="C215" s="7" t="str">
        <f aca="false">IF($W$204="ground","clay soil","")</f>
        <v/>
      </c>
      <c r="D215" s="11" t="n">
        <f aca="false">IF(B215="mass",1,0)</f>
        <v>0</v>
      </c>
      <c r="E215" s="7" t="n">
        <f aca="false">IF(B215="mass",INDEX(Materials!$B$5:$B$28,MATCH(C215,Materials!$A$5:$A$28,0)),0)</f>
        <v>0</v>
      </c>
      <c r="F215" s="7" t="n">
        <f aca="false">IF(B215="mass",INDEX(Materials!$C$5:$C$28,MATCH(C215,Materials!$A$5:$A$28,0)),0)</f>
        <v>0</v>
      </c>
      <c r="G215" s="7" t="n">
        <f aca="false">IF(B215="mass",INDEX(Materials!$D$5:$D$28,MATCH(C215,Materials!$A$5:$A$28,0)),0)</f>
        <v>0</v>
      </c>
      <c r="H215" s="12" t="n">
        <f aca="false">IF(B215="res",1000000,0)</f>
        <v>0</v>
      </c>
      <c r="I215" s="11" t="n">
        <f aca="false">IF(B215="mass",SQRT(E215*($B$2*3600)/(PI()*F215*G215)),0)</f>
        <v>0</v>
      </c>
      <c r="J215" s="10" t="n">
        <f aca="false">IF(B215="mass",D215/I215,0)</f>
        <v>0</v>
      </c>
      <c r="K215" s="7" t="str">
        <f aca="false">IF(B215="mass",COMPLEX(COSH(J215)*COS(J215),SINH(J215)*SIN(J215)),COMPLEX(1,0))</f>
        <v>1</v>
      </c>
      <c r="L215" s="7" t="str">
        <f aca="false">IF(B215="mass",COMPLEX(-I215/(2*E215)*(SINH(J215)*COS(J215)+COSH(J215)*SIN(J215)),-I215/(2*E215)*(COSH(J215)*SIN(J215)-SINH(J215)*COS(J215))),COMPLEX(-H215,0))</f>
        <v>-0</v>
      </c>
      <c r="M215" s="7" t="str">
        <f aca="false">IF(B215="mass",COMPLEX(-E215/I215*(SINH(J215)*COS(J215)-COSH(J215)*SIN(J215)),-E215/I215*(SINH(J215)*COS(J215)+COSH(J215)*SIN(J215))),COMPLEX(0,0))</f>
        <v>0</v>
      </c>
      <c r="N215" s="7" t="str">
        <f aca="false">K215</f>
        <v>1</v>
      </c>
      <c r="O215" s="7" t="str">
        <f aca="false">IMSUM(IMPRODUCT(K215,O214),IMPRODUCT(L215,Q214))</f>
        <v>-7.73649747931032+11.602666694139i</v>
      </c>
      <c r="P215" s="7" t="str">
        <f aca="false">IMSUM(IMPRODUCT(K215,P214),IMPRODUCT(L215,R214))</f>
        <v>-3.67010128126248-7.69133270304952i</v>
      </c>
      <c r="Q215" s="7" t="str">
        <f aca="false">IMSUM(IMPRODUCT(M215,O214),IMPRODUCT(N215,Q214))</f>
        <v>17.2569687475495+7.18215880327737i</v>
      </c>
      <c r="R215" s="7" t="str">
        <f aca="false">IMSUM(IMPRODUCT(M215,P214),IMPRODUCT(N215,R214))</f>
        <v>-9.2092058262383+6.75202088927213i</v>
      </c>
      <c r="S215" s="10" t="n">
        <f aca="false">IF(B215="mass",D215/E215,H215)</f>
        <v>0</v>
      </c>
      <c r="T215" s="12" t="n">
        <f aca="false">IF(B215="mass",F215*G215*D215,0)</f>
        <v>0</v>
      </c>
    </row>
    <row r="216" customFormat="false" ht="15" hidden="false" customHeight="false" outlineLevel="0" collapsed="false">
      <c r="A216" s="7" t="s">
        <v>52</v>
      </c>
      <c r="B216" s="7" t="s">
        <v>42</v>
      </c>
      <c r="H216" s="10" t="n">
        <f aca="false">IF($W$204="ext",0.04,IF($W$204="room",$Y$204,0))</f>
        <v>0.04</v>
      </c>
      <c r="I216" s="11" t="n">
        <f aca="false">IF(B216="mass",SQRT(E216*($B$2*3600)/(PI()*F216*G216)),0)</f>
        <v>0</v>
      </c>
      <c r="J216" s="10" t="n">
        <f aca="false">IF(B216="mass",D216/I216,0)</f>
        <v>0</v>
      </c>
      <c r="K216" s="7" t="str">
        <f aca="false">IF(B216="mass",COMPLEX(COSH(J216)*COS(J216),SINH(J216)*SIN(J216)),COMPLEX(1,0))</f>
        <v>1</v>
      </c>
      <c r="L216" s="7" t="str">
        <f aca="false">IF(B216="mass",COMPLEX(-I216/(2*E216)*(SINH(J216)*COS(J216)+COSH(J216)*SIN(J216)),-I216/(2*E216)*(COSH(J216)*SIN(J216)-SINH(J216)*COS(J216))),COMPLEX(-H216,0))</f>
        <v>-0.04</v>
      </c>
      <c r="M216" s="7" t="str">
        <f aca="false">IF(B216="mass",COMPLEX(-E216/I216*(SINH(J216)*COS(J216)-COSH(J216)*SIN(J216)),-E216/I216*(SINH(J216)*COS(J216)+COSH(J216)*SIN(J216))),COMPLEX(0,0))</f>
        <v>0</v>
      </c>
      <c r="N216" s="7" t="str">
        <f aca="false">K216</f>
        <v>1</v>
      </c>
      <c r="O216" s="7" t="str">
        <f aca="false">IMSUM(IMPRODUCT(K216,O215),IMPRODUCT(L216,Q215))</f>
        <v>-8.4267762292123+11.3153803420079i</v>
      </c>
      <c r="P216" s="7" t="str">
        <f aca="false">IMSUM(IMPRODUCT(K216,P215),IMPRODUCT(L216,R215))</f>
        <v>-3.30173304821295-7.96141353862041i</v>
      </c>
      <c r="Q216" s="7" t="str">
        <f aca="false">IMSUM(IMPRODUCT(M216,O215),IMPRODUCT(N216,Q215))</f>
        <v>17.2569687475495+7.18215880327737i</v>
      </c>
      <c r="R216" s="7" t="str">
        <f aca="false">IMSUM(IMPRODUCT(M216,P215),IMPRODUCT(N216,R215))</f>
        <v>-9.2092058262383+6.75202088927213i</v>
      </c>
      <c r="S216" s="10" t="n">
        <f aca="false">IF(B216="mass",D216/E216,H216)</f>
        <v>0.04</v>
      </c>
      <c r="T216" s="12" t="n">
        <f aca="false">IF(B216="mass",F216*G216*D216,0)</f>
        <v>0</v>
      </c>
    </row>
    <row r="217" customFormat="false" ht="15" hidden="false" customHeight="false" outlineLevel="0" collapsed="false">
      <c r="A217" s="9" t="s">
        <v>53</v>
      </c>
      <c r="B217" s="13" t="n">
        <f aca="false">IF(OR($W$204="ext",$W$204="ground"),1/SUM(S206:S216),"–")</f>
        <v>0.141146477894807</v>
      </c>
      <c r="C217" s="9" t="s">
        <v>54</v>
      </c>
      <c r="D217" s="13" t="n">
        <f aca="false">IMABS(IMDIV(IMPRODUCT(O216,COMPLEX(-1,0)),P216))</f>
        <v>1.63691893594691</v>
      </c>
      <c r="E217" s="9" t="s">
        <v>55</v>
      </c>
      <c r="F217" s="14" t="n">
        <f aca="false">IMARGUMENT(IMDIV(IMPRODUCT(O216,COMPLEX(-1,0)),P216))*$B$2/(2*PI())</f>
        <v>3.94669071767327</v>
      </c>
      <c r="G217" s="9" t="s">
        <v>56</v>
      </c>
      <c r="H217" s="13" t="n">
        <f aca="false">IF($W$204="ext",IMABS(IMDIV(COMPLEX(-1,0),P216))*SUM(S206:S216),"–")</f>
        <v>0.822011309541227</v>
      </c>
      <c r="I217" s="9" t="s">
        <v>57</v>
      </c>
      <c r="J217" s="14" t="n">
        <f aca="false">IF($W$204="ext",MOD(-IMARGUMENT(IMDIV(COMPLEX(-1,0),P216))*$B$2/(2*PI()),24),"–")</f>
        <v>4.4983591182016</v>
      </c>
      <c r="K217" s="9" t="s">
        <v>58</v>
      </c>
      <c r="L217" s="15" t="n">
        <f aca="false">($B$2*3600)/(2*PI())*IMABS(IMDIV(IMSUB(O216,COMPLEX(1,0)),P216))/1000</f>
        <v>23.4970549700103</v>
      </c>
      <c r="M217" s="9" t="s">
        <v>59</v>
      </c>
      <c r="N217" s="15" t="n">
        <f aca="false">SUM(T207:T214)/1000</f>
        <v>47.864</v>
      </c>
      <c r="O217" s="9" t="s">
        <v>60</v>
      </c>
      <c r="P217" s="16" t="n">
        <f aca="false">SUM(S207:S214)</f>
        <v>6.91483849483849</v>
      </c>
    </row>
    <row r="219" customFormat="false" ht="15" hidden="false" customHeight="false" outlineLevel="0" collapsed="false">
      <c r="A219" s="4" t="s">
        <v>92</v>
      </c>
    </row>
    <row r="220" customFormat="false" ht="15" hidden="false" customHeight="false" outlineLevel="0" collapsed="false">
      <c r="A220" s="9"/>
      <c r="B220" s="9" t="s">
        <v>62</v>
      </c>
      <c r="C220" s="9" t="s">
        <v>63</v>
      </c>
      <c r="D220" s="9"/>
      <c r="E220" s="9"/>
      <c r="F220" s="9"/>
      <c r="G220" s="9"/>
      <c r="H220" s="9"/>
      <c r="I220" s="9"/>
      <c r="J220" s="9"/>
      <c r="K220" s="9" t="s">
        <v>32</v>
      </c>
      <c r="L220" s="9" t="s">
        <v>33</v>
      </c>
      <c r="M220" s="9" t="s">
        <v>34</v>
      </c>
      <c r="N220" s="9" t="s">
        <v>35</v>
      </c>
      <c r="O220" s="9" t="s">
        <v>36</v>
      </c>
      <c r="P220" s="9" t="s">
        <v>37</v>
      </c>
      <c r="Q220" s="9" t="s">
        <v>38</v>
      </c>
      <c r="R220" s="9" t="s">
        <v>39</v>
      </c>
    </row>
    <row r="221" customFormat="false" ht="15" hidden="false" customHeight="false" outlineLevel="0" collapsed="false">
      <c r="A221" s="7" t="s">
        <v>22</v>
      </c>
      <c r="B221" s="7" t="s">
        <v>42</v>
      </c>
      <c r="C221" s="10" t="n">
        <f aca="false">$Y$204</f>
        <v>0.13</v>
      </c>
      <c r="K221" s="7" t="str">
        <f aca="false">COMPLEX(1,0)</f>
        <v>1</v>
      </c>
      <c r="L221" s="7" t="str">
        <f aca="false">COMPLEX(-C221,0)</f>
        <v>-0.13</v>
      </c>
      <c r="M221" s="7" t="str">
        <f aca="false">COMPLEX(0,0)</f>
        <v>0</v>
      </c>
      <c r="N221" s="7" t="str">
        <f aca="false">COMPLEX(1,0)</f>
        <v>1</v>
      </c>
      <c r="O221" s="7" t="str">
        <f aca="false">K221</f>
        <v>1</v>
      </c>
      <c r="P221" s="7" t="str">
        <f aca="false">L221</f>
        <v>-0.13</v>
      </c>
      <c r="Q221" s="7" t="str">
        <f aca="false">M221</f>
        <v>0</v>
      </c>
      <c r="R221" s="7" t="str">
        <f aca="false">N221</f>
        <v>1</v>
      </c>
    </row>
    <row r="222" customFormat="false" ht="15" hidden="false" customHeight="false" outlineLevel="0" collapsed="false">
      <c r="A222" s="7" t="s">
        <v>64</v>
      </c>
      <c r="B222" s="7" t="s">
        <v>65</v>
      </c>
      <c r="C222" s="10" t="n">
        <f aca="false">INDEX(Classes!$B$5:$F$9,MATCH(Engine!$C$203,Classes!$A$5:$A$9,0),5)*(N217*1000)</f>
        <v>23932</v>
      </c>
      <c r="K222" s="7" t="str">
        <f aca="false">COMPLEX(1,0)</f>
        <v>1</v>
      </c>
      <c r="L222" s="7" t="str">
        <f aca="false">COMPLEX(0,0)</f>
        <v>0</v>
      </c>
      <c r="M222" s="7" t="str">
        <f aca="false">COMPLEX(0,-(2*PI()/($B$2*3600))*C222)</f>
        <v>-1.74038415244701i</v>
      </c>
      <c r="N222" s="7" t="str">
        <f aca="false">COMPLEX(1,0)</f>
        <v>1</v>
      </c>
      <c r="O222" s="7" t="str">
        <f aca="false">IMSUM(IMPRODUCT(K222,O221),IMPRODUCT(L222,Q221))</f>
        <v>1</v>
      </c>
      <c r="P222" s="7" t="str">
        <f aca="false">IMSUM(IMPRODUCT(K222,P221),IMPRODUCT(L222,R221))</f>
        <v>-0.13</v>
      </c>
      <c r="Q222" s="7" t="str">
        <f aca="false">IMSUM(IMPRODUCT(M222,O221),IMPRODUCT(N222,Q221))</f>
        <v>-1.74038415244701i</v>
      </c>
      <c r="R222" s="7" t="str">
        <f aca="false">IMSUM(IMPRODUCT(M222,P221),IMPRODUCT(N222,R221))</f>
        <v>1+0.226249939818111i</v>
      </c>
    </row>
    <row r="223" customFormat="false" ht="15" hidden="false" customHeight="false" outlineLevel="0" collapsed="false">
      <c r="A223" s="7" t="s">
        <v>66</v>
      </c>
      <c r="B223" s="7" t="s">
        <v>42</v>
      </c>
      <c r="C223" s="10" t="n">
        <f aca="false">P217/6</f>
        <v>1.15247308247308</v>
      </c>
      <c r="K223" s="7" t="str">
        <f aca="false">COMPLEX(1,0)</f>
        <v>1</v>
      </c>
      <c r="L223" s="7" t="str">
        <f aca="false">COMPLEX(-C223,0)</f>
        <v>-1.15247308247308</v>
      </c>
      <c r="M223" s="7" t="str">
        <f aca="false">COMPLEX(0,0)</f>
        <v>0</v>
      </c>
      <c r="N223" s="7" t="str">
        <f aca="false">COMPLEX(1,0)</f>
        <v>1</v>
      </c>
      <c r="O223" s="7" t="str">
        <f aca="false">IMSUM(IMPRODUCT(K223,O222),IMPRODUCT(L223,Q222))</f>
        <v>1+2.0057458888579i</v>
      </c>
      <c r="P223" s="7" t="str">
        <f aca="false">IMSUM(IMPRODUCT(K223,P222),IMPRODUCT(L223,R222))</f>
        <v>-1.28247308247308-0.260746965551527i</v>
      </c>
      <c r="Q223" s="7" t="str">
        <f aca="false">IMSUM(IMPRODUCT(M223,O222),IMPRODUCT(N223,Q222))</f>
        <v>-1.74038415244701i</v>
      </c>
      <c r="R223" s="7" t="str">
        <f aca="false">IMSUM(IMPRODUCT(M223,P222),IMPRODUCT(N223,R222))</f>
        <v>1+0.226249939818111i</v>
      </c>
    </row>
    <row r="224" customFormat="false" ht="15" hidden="false" customHeight="false" outlineLevel="0" collapsed="false">
      <c r="A224" s="7" t="s">
        <v>67</v>
      </c>
      <c r="B224" s="7" t="s">
        <v>65</v>
      </c>
      <c r="C224" s="10" t="n">
        <f aca="false">INDEX(Classes!$B$5:$F$9,MATCH(Engine!$C$203,Classes!$A$5:$A$9,0),4)*(N217*1000)</f>
        <v>0</v>
      </c>
      <c r="K224" s="7" t="str">
        <f aca="false">COMPLEX(1,0)</f>
        <v>1</v>
      </c>
      <c r="L224" s="7" t="str">
        <f aca="false">COMPLEX(0,0)</f>
        <v>0</v>
      </c>
      <c r="M224" s="7" t="str">
        <f aca="false">COMPLEX(0,-(2*PI()/($B$2*3600))*C224)</f>
        <v>0</v>
      </c>
      <c r="N224" s="7" t="str">
        <f aca="false">COMPLEX(1,0)</f>
        <v>1</v>
      </c>
      <c r="O224" s="7" t="str">
        <f aca="false">IMSUM(IMPRODUCT(K224,O223),IMPRODUCT(L224,Q223))</f>
        <v>1+2.0057458888579i</v>
      </c>
      <c r="P224" s="7" t="str">
        <f aca="false">IMSUM(IMPRODUCT(K224,P223),IMPRODUCT(L224,R223))</f>
        <v>-1.28247308247308-0.260746965551527i</v>
      </c>
      <c r="Q224" s="7" t="str">
        <f aca="false">IMSUM(IMPRODUCT(M224,O223),IMPRODUCT(N224,Q223))</f>
        <v>-1.74038415244701i</v>
      </c>
      <c r="R224" s="7" t="str">
        <f aca="false">IMSUM(IMPRODUCT(M224,P223),IMPRODUCT(N224,R223))</f>
        <v>1+0.226249939818111i</v>
      </c>
    </row>
    <row r="225" customFormat="false" ht="15" hidden="false" customHeight="false" outlineLevel="0" collapsed="false">
      <c r="A225" s="7" t="s">
        <v>68</v>
      </c>
      <c r="B225" s="7" t="s">
        <v>42</v>
      </c>
      <c r="C225" s="10" t="n">
        <f aca="false">P217/3</f>
        <v>2.30494616494617</v>
      </c>
      <c r="K225" s="7" t="str">
        <f aca="false">COMPLEX(1,0)</f>
        <v>1</v>
      </c>
      <c r="L225" s="7" t="str">
        <f aca="false">COMPLEX(-C225,0)</f>
        <v>-2.30494616494616</v>
      </c>
      <c r="M225" s="7" t="str">
        <f aca="false">COMPLEX(0,0)</f>
        <v>0</v>
      </c>
      <c r="N225" s="7" t="str">
        <f aca="false">COMPLEX(1,0)</f>
        <v>1</v>
      </c>
      <c r="O225" s="7" t="str">
        <f aca="false">IMSUM(IMPRODUCT(K225,O224),IMPRODUCT(L225,Q224))</f>
        <v>1+6.01723766657371i</v>
      </c>
      <c r="P225" s="7" t="str">
        <f aca="false">IMSUM(IMPRODUCT(K225,P224),IMPRODUCT(L225,R224))</f>
        <v>-3.58741924741924-0.782240896654582i</v>
      </c>
      <c r="Q225" s="7" t="str">
        <f aca="false">IMSUM(IMPRODUCT(M225,O224),IMPRODUCT(N225,Q224))</f>
        <v>-1.74038415244701i</v>
      </c>
      <c r="R225" s="7" t="str">
        <f aca="false">IMSUM(IMPRODUCT(M225,P224),IMPRODUCT(N225,R224))</f>
        <v>1+0.226249939818111i</v>
      </c>
    </row>
    <row r="226" customFormat="false" ht="15" hidden="false" customHeight="false" outlineLevel="0" collapsed="false">
      <c r="A226" s="7" t="s">
        <v>69</v>
      </c>
      <c r="B226" s="7" t="s">
        <v>65</v>
      </c>
      <c r="C226" s="10" t="n">
        <f aca="false">INDEX(Classes!$B$5:$F$9,MATCH(Engine!$C$203,Classes!$A$5:$A$9,0),3)*(N217*1000)</f>
        <v>0</v>
      </c>
      <c r="K226" s="7" t="str">
        <f aca="false">COMPLEX(1,0)</f>
        <v>1</v>
      </c>
      <c r="L226" s="7" t="str">
        <f aca="false">COMPLEX(0,0)</f>
        <v>0</v>
      </c>
      <c r="M226" s="7" t="str">
        <f aca="false">COMPLEX(0,-(2*PI()/($B$2*3600))*C226)</f>
        <v>0</v>
      </c>
      <c r="N226" s="7" t="str">
        <f aca="false">COMPLEX(1,0)</f>
        <v>1</v>
      </c>
      <c r="O226" s="7" t="str">
        <f aca="false">IMSUM(IMPRODUCT(K226,O225),IMPRODUCT(L226,Q225))</f>
        <v>1+6.01723766657371i</v>
      </c>
      <c r="P226" s="7" t="str">
        <f aca="false">IMSUM(IMPRODUCT(K226,P225),IMPRODUCT(L226,R225))</f>
        <v>-3.58741924741924-0.782240896654582i</v>
      </c>
      <c r="Q226" s="7" t="str">
        <f aca="false">IMSUM(IMPRODUCT(M226,O225),IMPRODUCT(N226,Q225))</f>
        <v>-1.74038415244701i</v>
      </c>
      <c r="R226" s="7" t="str">
        <f aca="false">IMSUM(IMPRODUCT(M226,P225),IMPRODUCT(N226,R225))</f>
        <v>1+0.226249939818111i</v>
      </c>
    </row>
    <row r="227" customFormat="false" ht="15" hidden="false" customHeight="false" outlineLevel="0" collapsed="false">
      <c r="A227" s="7" t="s">
        <v>68</v>
      </c>
      <c r="B227" s="7" t="s">
        <v>42</v>
      </c>
      <c r="C227" s="10" t="n">
        <f aca="false">P217/3</f>
        <v>2.30494616494617</v>
      </c>
      <c r="K227" s="7" t="str">
        <f aca="false">COMPLEX(1,0)</f>
        <v>1</v>
      </c>
      <c r="L227" s="7" t="str">
        <f aca="false">COMPLEX(-C227,0)</f>
        <v>-2.30494616494616</v>
      </c>
      <c r="M227" s="7" t="str">
        <f aca="false">COMPLEX(0,0)</f>
        <v>0</v>
      </c>
      <c r="N227" s="7" t="str">
        <f aca="false">COMPLEX(1,0)</f>
        <v>1</v>
      </c>
      <c r="O227" s="7" t="str">
        <f aca="false">IMSUM(IMPRODUCT(K227,O226),IMPRODUCT(L227,Q226))</f>
        <v>1+10.0287294442895i</v>
      </c>
      <c r="P227" s="7" t="str">
        <f aca="false">IMSUM(IMPRODUCT(K227,P226),IMPRODUCT(L227,R226))</f>
        <v>-5.8923654123654-1.30373482775764i</v>
      </c>
      <c r="Q227" s="7" t="str">
        <f aca="false">IMSUM(IMPRODUCT(M227,O226),IMPRODUCT(N227,Q226))</f>
        <v>-1.74038415244701i</v>
      </c>
      <c r="R227" s="7" t="str">
        <f aca="false">IMSUM(IMPRODUCT(M227,P226),IMPRODUCT(N227,R226))</f>
        <v>1+0.226249939818111i</v>
      </c>
    </row>
    <row r="228" customFormat="false" ht="15" hidden="false" customHeight="false" outlineLevel="0" collapsed="false">
      <c r="A228" s="7" t="s">
        <v>70</v>
      </c>
      <c r="B228" s="7" t="s">
        <v>65</v>
      </c>
      <c r="C228" s="10" t="n">
        <f aca="false">INDEX(Classes!$B$5:$F$9,MATCH(Engine!$C$203,Classes!$A$5:$A$9,0),2)*(N217*1000)</f>
        <v>0</v>
      </c>
      <c r="K228" s="7" t="str">
        <f aca="false">COMPLEX(1,0)</f>
        <v>1</v>
      </c>
      <c r="L228" s="7" t="str">
        <f aca="false">COMPLEX(0,0)</f>
        <v>0</v>
      </c>
      <c r="M228" s="7" t="str">
        <f aca="false">COMPLEX(0,-(2*PI()/($B$2*3600))*C228)</f>
        <v>0</v>
      </c>
      <c r="N228" s="7" t="str">
        <f aca="false">COMPLEX(1,0)</f>
        <v>1</v>
      </c>
      <c r="O228" s="7" t="str">
        <f aca="false">IMSUM(IMPRODUCT(K228,O227),IMPRODUCT(L228,Q227))</f>
        <v>1+10.0287294442895i</v>
      </c>
      <c r="P228" s="7" t="str">
        <f aca="false">IMSUM(IMPRODUCT(K228,P227),IMPRODUCT(L228,R227))</f>
        <v>-5.8923654123654-1.30373482775764i</v>
      </c>
      <c r="Q228" s="7" t="str">
        <f aca="false">IMSUM(IMPRODUCT(M228,O227),IMPRODUCT(N228,Q227))</f>
        <v>-1.74038415244701i</v>
      </c>
      <c r="R228" s="7" t="str">
        <f aca="false">IMSUM(IMPRODUCT(M228,P227),IMPRODUCT(N228,R227))</f>
        <v>1+0.226249939818111i</v>
      </c>
    </row>
    <row r="229" customFormat="false" ht="15" hidden="false" customHeight="false" outlineLevel="0" collapsed="false">
      <c r="A229" s="7" t="s">
        <v>66</v>
      </c>
      <c r="B229" s="7" t="s">
        <v>42</v>
      </c>
      <c r="C229" s="10" t="n">
        <f aca="false">P217/6</f>
        <v>1.15247308247308</v>
      </c>
      <c r="K229" s="7" t="str">
        <f aca="false">COMPLEX(1,0)</f>
        <v>1</v>
      </c>
      <c r="L229" s="7" t="str">
        <f aca="false">COMPLEX(-C229,0)</f>
        <v>-1.15247308247308</v>
      </c>
      <c r="M229" s="7" t="str">
        <f aca="false">COMPLEX(0,0)</f>
        <v>0</v>
      </c>
      <c r="N229" s="7" t="str">
        <f aca="false">COMPLEX(1,0)</f>
        <v>1</v>
      </c>
      <c r="O229" s="7" t="str">
        <f aca="false">IMSUM(IMPRODUCT(K229,O228),IMPRODUCT(L229,Q228))</f>
        <v>1+12.0344753331474i</v>
      </c>
      <c r="P229" s="7" t="str">
        <f aca="false">IMSUM(IMPRODUCT(K229,P228),IMPRODUCT(L229,R228))</f>
        <v>-7.04483849483848-1.56448179330917i</v>
      </c>
      <c r="Q229" s="7" t="str">
        <f aca="false">IMSUM(IMPRODUCT(M229,O228),IMPRODUCT(N229,Q228))</f>
        <v>-1.74038415244701i</v>
      </c>
      <c r="R229" s="7" t="str">
        <f aca="false">IMSUM(IMPRODUCT(M229,P228),IMPRODUCT(N229,R228))</f>
        <v>1+0.226249939818111i</v>
      </c>
    </row>
    <row r="230" customFormat="false" ht="15" hidden="false" customHeight="false" outlineLevel="0" collapsed="false">
      <c r="A230" s="7" t="s">
        <v>71</v>
      </c>
      <c r="B230" s="7" t="s">
        <v>65</v>
      </c>
      <c r="C230" s="10" t="n">
        <f aca="false">INDEX(Classes!$B$5:$F$9,MATCH(Engine!$C$203,Classes!$A$5:$A$9,0),1)*(N217*1000)</f>
        <v>23932</v>
      </c>
      <c r="K230" s="7" t="str">
        <f aca="false">COMPLEX(1,0)</f>
        <v>1</v>
      </c>
      <c r="L230" s="7" t="str">
        <f aca="false">COMPLEX(0,0)</f>
        <v>0</v>
      </c>
      <c r="M230" s="7" t="str">
        <f aca="false">COMPLEX(0,-(2*PI()/($B$2*3600))*C230)</f>
        <v>-1.74038415244701i</v>
      </c>
      <c r="N230" s="7" t="str">
        <f aca="false">COMPLEX(1,0)</f>
        <v>1</v>
      </c>
      <c r="O230" s="7" t="str">
        <f aca="false">IMSUM(IMPRODUCT(K230,O229),IMPRODUCT(L230,Q229))</f>
        <v>1+12.0344753331474i</v>
      </c>
      <c r="P230" s="7" t="str">
        <f aca="false">IMSUM(IMPRODUCT(K230,P229),IMPRODUCT(L230,R229))</f>
        <v>-7.04483849483848-1.56448179330917i</v>
      </c>
      <c r="Q230" s="7" t="str">
        <f aca="false">IMSUM(IMPRODUCT(M230,O229),IMPRODUCT(N230,Q229))</f>
        <v>20.9446101528242-3.48076830489402i</v>
      </c>
      <c r="R230" s="7" t="str">
        <f aca="false">IMSUM(IMPRODUCT(M230,P229),IMPRODUCT(N230,R229))</f>
        <v>-1.72279931986716+12.4869752127836i</v>
      </c>
    </row>
    <row r="231" customFormat="false" ht="15" hidden="false" customHeight="false" outlineLevel="0" collapsed="false">
      <c r="A231" s="7" t="s">
        <v>72</v>
      </c>
      <c r="B231" s="7" t="s">
        <v>73</v>
      </c>
      <c r="K231" s="7" t="str">
        <f aca="false">K215</f>
        <v>1</v>
      </c>
      <c r="L231" s="7" t="str">
        <f aca="false">L215</f>
        <v>-0</v>
      </c>
      <c r="M231" s="7" t="str">
        <f aca="false">M215</f>
        <v>0</v>
      </c>
      <c r="N231" s="7" t="str">
        <f aca="false">N215</f>
        <v>1</v>
      </c>
      <c r="O231" s="7" t="str">
        <f aca="false">IMSUM(IMPRODUCT(K231,O230),IMPRODUCT(L231,Q230))</f>
        <v>1+12.0344753331474i</v>
      </c>
      <c r="P231" s="7" t="str">
        <f aca="false">IMSUM(IMPRODUCT(K231,P230),IMPRODUCT(L231,R230))</f>
        <v>-7.04483849483848-1.56448179330917i</v>
      </c>
      <c r="Q231" s="7" t="str">
        <f aca="false">IMSUM(IMPRODUCT(M231,O230),IMPRODUCT(N231,Q230))</f>
        <v>20.9446101528242-3.48076830489402i</v>
      </c>
      <c r="R231" s="7" t="str">
        <f aca="false">IMSUM(IMPRODUCT(M231,P230),IMPRODUCT(N231,R230))</f>
        <v>-1.72279931986716+12.4869752127836i</v>
      </c>
    </row>
    <row r="232" customFormat="false" ht="15" hidden="false" customHeight="false" outlineLevel="0" collapsed="false">
      <c r="A232" s="7" t="s">
        <v>52</v>
      </c>
      <c r="B232" s="7" t="s">
        <v>73</v>
      </c>
      <c r="K232" s="7" t="str">
        <f aca="false">K216</f>
        <v>1</v>
      </c>
      <c r="L232" s="7" t="str">
        <f aca="false">L216</f>
        <v>-0.04</v>
      </c>
      <c r="M232" s="7" t="str">
        <f aca="false">M216</f>
        <v>0</v>
      </c>
      <c r="N232" s="7" t="str">
        <f aca="false">N216</f>
        <v>1</v>
      </c>
      <c r="O232" s="7" t="str">
        <f aca="false">IMSUM(IMPRODUCT(K232,O231),IMPRODUCT(L232,Q231))</f>
        <v>0.162215593887032+12.1737060653432i</v>
      </c>
      <c r="P232" s="7" t="str">
        <f aca="false">IMSUM(IMPRODUCT(K232,P231),IMPRODUCT(L232,R231))</f>
        <v>-6.97592652204379-2.06396080182051i</v>
      </c>
      <c r="Q232" s="7" t="str">
        <f aca="false">IMSUM(IMPRODUCT(M232,O231),IMPRODUCT(N232,Q231))</f>
        <v>20.9446101528242-3.48076830489402i</v>
      </c>
      <c r="R232" s="7" t="str">
        <f aca="false">IMSUM(IMPRODUCT(M232,P231),IMPRODUCT(N232,R231))</f>
        <v>-1.72279931986716+12.4869752127836i</v>
      </c>
    </row>
    <row r="233" customFormat="false" ht="15" hidden="false" customHeight="false" outlineLevel="0" collapsed="false">
      <c r="A233" s="9" t="s">
        <v>74</v>
      </c>
      <c r="B233" s="13" t="n">
        <f aca="false">IMABS(IMDIV(IMPRODUCT(O232,COMPLEX(-1,0)),P232))</f>
        <v>1.67354404497259</v>
      </c>
    </row>
    <row r="236" customFormat="false" ht="15" hidden="false" customHeight="false" outlineLevel="0" collapsed="false">
      <c r="A236" s="4" t="s">
        <v>93</v>
      </c>
      <c r="B236" s="9" t="s">
        <v>18</v>
      </c>
      <c r="C236" s="7" t="str">
        <f aca="false">INDEX(Library!$F$5:$F$34,MATCH(A236,Library!$A$5:$A$34,0))</f>
        <v>I</v>
      </c>
    </row>
    <row r="237" customFormat="false" ht="15" hidden="false" customHeight="false" outlineLevel="0" collapsed="false">
      <c r="A237" s="4" t="s">
        <v>94</v>
      </c>
      <c r="T237" s="9" t="s">
        <v>20</v>
      </c>
      <c r="U237" s="7" t="n">
        <f aca="false">MATCH($A$236,Library!$A$5:$A$34,0)</f>
        <v>8</v>
      </c>
      <c r="V237" s="9" t="s">
        <v>21</v>
      </c>
      <c r="W237" s="7" t="str">
        <f aca="false">INDEX(Library!$D$5:$D$34,$U$237)</f>
        <v>ext</v>
      </c>
      <c r="X237" s="9" t="s">
        <v>22</v>
      </c>
      <c r="Y237" s="7" t="n">
        <f aca="false">INDEX(Library!$E$5:$E$34,$U$237)</f>
        <v>0.13</v>
      </c>
    </row>
    <row r="238" customFormat="false" ht="15" hidden="false" customHeight="false" outlineLevel="0" collapsed="false">
      <c r="A238" s="9"/>
      <c r="B238" s="9" t="s">
        <v>23</v>
      </c>
      <c r="C238" s="9" t="s">
        <v>24</v>
      </c>
      <c r="D238" s="9" t="s">
        <v>25</v>
      </c>
      <c r="E238" s="9" t="s">
        <v>26</v>
      </c>
      <c r="F238" s="9" t="s">
        <v>27</v>
      </c>
      <c r="G238" s="9" t="s">
        <v>28</v>
      </c>
      <c r="H238" s="9" t="s">
        <v>29</v>
      </c>
      <c r="I238" s="9" t="s">
        <v>30</v>
      </c>
      <c r="J238" s="9" t="s">
        <v>31</v>
      </c>
      <c r="K238" s="9" t="s">
        <v>32</v>
      </c>
      <c r="L238" s="9" t="s">
        <v>33</v>
      </c>
      <c r="M238" s="9" t="s">
        <v>34</v>
      </c>
      <c r="N238" s="9" t="s">
        <v>35</v>
      </c>
      <c r="O238" s="9" t="s">
        <v>36</v>
      </c>
      <c r="P238" s="9" t="s">
        <v>37</v>
      </c>
      <c r="Q238" s="9" t="s">
        <v>38</v>
      </c>
      <c r="R238" s="9" t="s">
        <v>39</v>
      </c>
      <c r="S238" s="9" t="s">
        <v>40</v>
      </c>
      <c r="T238" s="9" t="s">
        <v>41</v>
      </c>
    </row>
    <row r="239" customFormat="false" ht="15" hidden="false" customHeight="false" outlineLevel="0" collapsed="false">
      <c r="A239" s="7" t="s">
        <v>22</v>
      </c>
      <c r="B239" s="7" t="s">
        <v>42</v>
      </c>
      <c r="H239" s="10" t="n">
        <f aca="false">$Y$237</f>
        <v>0.13</v>
      </c>
      <c r="I239" s="11" t="n">
        <f aca="false">IF(B239="mass",SQRT(E239*($B$2*3600)/(PI()*F239*G239)),0)</f>
        <v>0</v>
      </c>
      <c r="J239" s="10" t="n">
        <f aca="false">IF(B239="mass",D239/I239,0)</f>
        <v>0</v>
      </c>
      <c r="K239" s="7" t="str">
        <f aca="false">IF(B239="mass",COMPLEX(COSH(J239)*COS(J239),SINH(J239)*SIN(J239)),COMPLEX(1,0))</f>
        <v>1</v>
      </c>
      <c r="L239" s="7" t="str">
        <f aca="false">IF(B239="mass",COMPLEX(-I239/(2*E239)*(SINH(J239)*COS(J239)+COSH(J239)*SIN(J239)),-I239/(2*E239)*(COSH(J239)*SIN(J239)-SINH(J239)*COS(J239))),COMPLEX(-H239,0))</f>
        <v>-0.13</v>
      </c>
      <c r="M239" s="7" t="str">
        <f aca="false">IF(B239="mass",COMPLEX(-E239/I239*(SINH(J239)*COS(J239)-COSH(J239)*SIN(J239)),-E239/I239*(SINH(J239)*COS(J239)+COSH(J239)*SIN(J239))),COMPLEX(0,0))</f>
        <v>0</v>
      </c>
      <c r="N239" s="7" t="str">
        <f aca="false">K239</f>
        <v>1</v>
      </c>
      <c r="O239" s="7" t="str">
        <f aca="false">K239</f>
        <v>1</v>
      </c>
      <c r="P239" s="7" t="str">
        <f aca="false">L239</f>
        <v>-0.13</v>
      </c>
      <c r="Q239" s="7" t="str">
        <f aca="false">M239</f>
        <v>0</v>
      </c>
      <c r="R239" s="7" t="str">
        <f aca="false">N239</f>
        <v>1</v>
      </c>
      <c r="S239" s="10" t="n">
        <f aca="false">IF(B239="mass",D239/E239,H239)</f>
        <v>0.13</v>
      </c>
      <c r="T239" s="12" t="n">
        <f aca="false">IF(B239="mass",F239*G239*D239,0)</f>
        <v>0</v>
      </c>
    </row>
    <row r="240" customFormat="false" ht="15" hidden="false" customHeight="false" outlineLevel="0" collapsed="false">
      <c r="A240" s="7" t="s">
        <v>43</v>
      </c>
      <c r="B240" s="7" t="str">
        <f aca="false">IF(C240="","none",IF(C240="Cavity","res","mass"))</f>
        <v>mass</v>
      </c>
      <c r="C240" s="7" t="str">
        <f aca="false">IF(INDEX(Library!$G$5:$G$34,$U$237)="","",INDEX(Library!$G$5:$G$34,$U$237))</f>
        <v>CLT</v>
      </c>
      <c r="D240" s="11" t="n">
        <f aca="false">IF(B240="mass",INDEX(Library!$H$5:$H$34,$U$237)/1000,0)</f>
        <v>0.1</v>
      </c>
      <c r="E240" s="7" t="n">
        <f aca="false">IF(B240="mass",INDEX(Materials!$B$5:$B$28,MATCH(C240,Materials!$A$5:$A$28,0)),0)</f>
        <v>0.13</v>
      </c>
      <c r="F240" s="7" t="n">
        <f aca="false">IF(B240="mass",INDEX(Materials!$C$5:$C$28,MATCH(C240,Materials!$A$5:$A$28,0)),0)</f>
        <v>470</v>
      </c>
      <c r="G240" s="7" t="n">
        <f aca="false">IF(B240="mass",INDEX(Materials!$D$5:$D$28,MATCH(C240,Materials!$A$5:$A$28,0)),0)</f>
        <v>1600</v>
      </c>
      <c r="H240" s="10" t="n">
        <f aca="false">IF(B240="res",INDEX(Library!$H$5:$H$34,$U$237),0)</f>
        <v>0</v>
      </c>
      <c r="I240" s="11" t="n">
        <f aca="false">IF(B240="mass",SQRT(E240*($B$2*3600)/(PI()*F240*G240)),0)</f>
        <v>0.0689516543706332</v>
      </c>
      <c r="J240" s="10" t="n">
        <f aca="false">IF(B240="mass",D240/I240,0)</f>
        <v>1.45029152545744</v>
      </c>
      <c r="K240" s="7" t="str">
        <f aca="false">IF(B240="mass",COMPLEX(COSH(J240)*COS(J240),SINH(J240)*SIN(J240)),COMPLEX(1,0))</f>
        <v>0.270411510446525+2.00031569571631i</v>
      </c>
      <c r="L240" s="7" t="str">
        <f aca="false">IF(B240="mass",COMPLEX(-I240/(2*E240)*(SINH(J240)*COS(J240)+COSH(J240)*SIN(J240)),-I240/(2*E240)*(COSH(J240)*SIN(J240)-SINH(J240)*COS(J240))),COMPLEX(-H240,0))</f>
        <v>-0.656456418013959-0.527982912808354i</v>
      </c>
      <c r="M240" s="7" t="str">
        <f aca="false">IF(B240="mass",COMPLEX(-E240/I240*(SINH(J240)*COS(J240)-COSH(J240)*SIN(J240)),-E240/I240*(SINH(J240)*COS(J240)+COSH(J240)*SIN(J240))),COMPLEX(0,0))</f>
        <v>3.75359305074406-4.66695074593813i</v>
      </c>
      <c r="N240" s="7" t="str">
        <f aca="false">K240</f>
        <v>0.270411510446525+2.00031569571631i</v>
      </c>
      <c r="O240" s="7" t="str">
        <f aca="false">IMSUM(IMPRODUCT(K240,O239),IMPRODUCT(L240,Q239))</f>
        <v>0.270411510446525+2.00031569571631i</v>
      </c>
      <c r="P240" s="7" t="str">
        <f aca="false">IMSUM(IMPRODUCT(K240,P239),IMPRODUCT(L240,R239))</f>
        <v>-0.691609914372007-0.788023953251474i</v>
      </c>
      <c r="Q240" s="7" t="str">
        <f aca="false">IMSUM(IMPRODUCT(M240,O239),IMPRODUCT(N240,Q239))</f>
        <v>3.75359305074406-4.66695074593813i</v>
      </c>
      <c r="R240" s="7" t="str">
        <f aca="false">IMSUM(IMPRODUCT(M240,P239),IMPRODUCT(N240,R239))</f>
        <v>-0.217555586150203+2.60701929268827i</v>
      </c>
      <c r="S240" s="10" t="n">
        <f aca="false">IF(B240="mass",D240/E240,H240)</f>
        <v>0.769230769230769</v>
      </c>
      <c r="T240" s="12" t="n">
        <f aca="false">IF(B240="mass",F240*G240*D240,0)</f>
        <v>75200</v>
      </c>
    </row>
    <row r="241" customFormat="false" ht="15" hidden="false" customHeight="false" outlineLevel="0" collapsed="false">
      <c r="A241" s="7" t="s">
        <v>44</v>
      </c>
      <c r="B241" s="7" t="str">
        <f aca="false">IF(C241="","none",IF(C241="Cavity","res","mass"))</f>
        <v>mass</v>
      </c>
      <c r="C241" s="7" t="str">
        <f aca="false">IF(INDEX(Library!$I$5:$I$34,$U$237)="","",INDEX(Library!$I$5:$I$34,$U$237))</f>
        <v>wood fibre</v>
      </c>
      <c r="D241" s="11" t="n">
        <f aca="false">IF(B241="mass",INDEX(Library!$J$5:$J$34,$U$237)/1000,0)</f>
        <v>0.16</v>
      </c>
      <c r="E241" s="7" t="n">
        <f aca="false">IF(B241="mass",INDEX(Materials!$B$5:$B$28,MATCH(C241,Materials!$A$5:$A$28,0)),0)</f>
        <v>0.038</v>
      </c>
      <c r="F241" s="7" t="n">
        <f aca="false">IF(B241="mass",INDEX(Materials!$C$5:$C$28,MATCH(C241,Materials!$A$5:$A$28,0)),0)</f>
        <v>160</v>
      </c>
      <c r="G241" s="7" t="n">
        <f aca="false">IF(B241="mass",INDEX(Materials!$D$5:$D$28,MATCH(C241,Materials!$A$5:$A$28,0)),0)</f>
        <v>2100</v>
      </c>
      <c r="H241" s="10" t="n">
        <f aca="false">IF(B241="res",INDEX(Library!$J$5:$J$34,$U$237),0)</f>
        <v>0</v>
      </c>
      <c r="I241" s="11" t="n">
        <f aca="false">IF(B241="mass",SQRT(E241*($B$2*3600)/(PI()*F241*G241)),0)</f>
        <v>0.055770443035935</v>
      </c>
      <c r="J241" s="10" t="n">
        <f aca="false">IF(B241="mass",D241/I241,0)</f>
        <v>2.86890315533097</v>
      </c>
      <c r="K241" s="7" t="str">
        <f aca="false">IF(B241="mass",COMPLEX(COSH(J241)*COS(J241),SINH(J241)*SIN(J241)),COMPLEX(1,0))</f>
        <v>-8.51068740824+2.36477604132782i</v>
      </c>
      <c r="L241" s="7" t="str">
        <f aca="false">IF(B241="mass",COMPLEX(-I241/(2*E241)*(SINH(J241)*COS(J241)+COSH(J241)*SIN(J241)),-I241/(2*E241)*(COSH(J241)*SIN(J241)-SINH(J241)*COS(J241))),COMPLEX(-H241,0))</f>
        <v>4.45867115726034-7.95175466849177i</v>
      </c>
      <c r="M241" s="7" t="str">
        <f aca="false">IF(B241="mass",COMPLEX(-E241/I241*(SINH(J241)*COS(J241)-COSH(J241)*SIN(J241)),-E241/I241*(SINH(J241)*COS(J241)+COSH(J241)*SIN(J241))),COMPLEX(0,0))</f>
        <v>7.38332477468381+4.13994377216022i</v>
      </c>
      <c r="N241" s="7" t="str">
        <f aca="false">K241</f>
        <v>-8.51068740824+2.36477604132782i</v>
      </c>
      <c r="O241" s="7" t="str">
        <f aca="false">IMSUM(IMPRODUCT(K241,O240),IMPRODUCT(L241,Q240))</f>
        <v>-27.4060967795116-67.0406486909757i</v>
      </c>
      <c r="P241" s="7" t="str">
        <f aca="false">IMSUM(IMPRODUCT(K241,P240),IMPRODUCT(L241,R240))</f>
        <v>27.5099449687146+18.4249133554339i</v>
      </c>
      <c r="Q241" s="7" t="str">
        <f aca="false">IMSUM(IMPRODUCT(M241,O240),IMPRODUCT(N241,Q240))</f>
        <v>-27.1940223049688+64.4838347455907i</v>
      </c>
      <c r="R241" s="7" t="str">
        <f aca="false">IMSUM(IMPRODUCT(M241,P240),IMPRODUCT(N241,R240))</f>
        <v>-6.15747493261109-31.3834594399603i</v>
      </c>
      <c r="S241" s="10" t="n">
        <f aca="false">IF(B241="mass",D241/E241,H241)</f>
        <v>4.21052631578947</v>
      </c>
      <c r="T241" s="12" t="n">
        <f aca="false">IF(B241="mass",F241*G241*D241,0)</f>
        <v>53760</v>
      </c>
    </row>
    <row r="242" customFormat="false" ht="15" hidden="false" customHeight="false" outlineLevel="0" collapsed="false">
      <c r="A242" s="7" t="s">
        <v>45</v>
      </c>
      <c r="B242" s="7" t="str">
        <f aca="false">IF(C242="","none",IF(C242="Cavity","res","mass"))</f>
        <v>mass</v>
      </c>
      <c r="C242" s="7" t="str">
        <f aca="false">IF(INDEX(Library!$K$5:$K$34,$U$237)="","",INDEX(Library!$K$5:$K$34,$U$237))</f>
        <v>render</v>
      </c>
      <c r="D242" s="11" t="n">
        <f aca="false">IF(B242="mass",INDEX(Library!$L$5:$L$34,$U$237)/1000,0)</f>
        <v>0.01</v>
      </c>
      <c r="E242" s="7" t="n">
        <f aca="false">IF(B242="mass",INDEX(Materials!$B$5:$B$28,MATCH(C242,Materials!$A$5:$A$28,0)),0)</f>
        <v>0.8</v>
      </c>
      <c r="F242" s="7" t="n">
        <f aca="false">IF(B242="mass",INDEX(Materials!$C$5:$C$28,MATCH(C242,Materials!$A$5:$A$28,0)),0)</f>
        <v>1800</v>
      </c>
      <c r="G242" s="7" t="n">
        <f aca="false">IF(B242="mass",INDEX(Materials!$D$5:$D$28,MATCH(C242,Materials!$A$5:$A$28,0)),0)</f>
        <v>1000</v>
      </c>
      <c r="H242" s="10" t="n">
        <f aca="false">IF(B242="res",INDEX(Library!$L$5:$L$34,$U$237),0)</f>
        <v>0</v>
      </c>
      <c r="I242" s="11" t="n">
        <f aca="false">IF(B242="mass",SQRT(E242*($B$2*3600)/(PI()*F242*G242)),0)</f>
        <v>0.110558127830827</v>
      </c>
      <c r="J242" s="10" t="n">
        <f aca="false">IF(B242="mass",D242/I242,0)</f>
        <v>0.0904501568197835</v>
      </c>
      <c r="K242" s="7" t="str">
        <f aca="false">IF(B242="mass",COMPLEX(COSH(J242)*COS(J242),SINH(J242)*SIN(J242)),COMPLEX(1,0))</f>
        <v>0.99998884457869+0.00818122478438429i</v>
      </c>
      <c r="L242" s="7" t="str">
        <f aca="false">IF(B242="mass",COMPLEX(-I242/(2*E242)*(SINH(J242)*COS(J242)+COSH(J242)*SIN(J242)),-I242/(2*E242)*(COSH(J242)*SIN(J242)-SINH(J242)*COS(J242))),COMPLEX(-H242,0))</f>
        <v>-0.0124999721114447-3.40884510881232e-05i</v>
      </c>
      <c r="M242" s="7" t="str">
        <f aca="false">IF(B242="mass",COMPLEX(-E242/I242*(SINH(J242)*COS(J242)-COSH(J242)*SIN(J242)),-E242/I242*(SINH(J242)*COS(J242)+COSH(J242)*SIN(J242))),COMPLEX(0,0))</f>
        <v>0.00356973425035676-1.30899401851307i</v>
      </c>
      <c r="N242" s="7" t="str">
        <f aca="false">K242</f>
        <v>0.99998884457869+0.00818122478438429i</v>
      </c>
      <c r="O242" s="7" t="str">
        <f aca="false">IMSUM(IMPRODUCT(K242,O241),IMPRODUCT(L242,Q241))</f>
        <v>-26.515193761867-68.0692353963701i</v>
      </c>
      <c r="P242" s="7" t="str">
        <f aca="false">IMSUM(IMPRODUCT(K242,P241),IMPRODUCT(L242,R241))</f>
        <v>27.4347981773071+19.0422751279011i</v>
      </c>
      <c r="Q242" s="7" t="str">
        <f aca="false">IMSUM(IMPRODUCT(M242,O241),IMPRODUCT(N242,Q241))</f>
        <v>-115.574916307271+99.8957344473506i</v>
      </c>
      <c r="R242" s="7" t="str">
        <f aca="false">IMSUM(IMPRODUCT(M242,P241),IMPRODUCT(N242,R241))</f>
        <v>18.3156534594707-67.3780664001824i</v>
      </c>
      <c r="S242" s="10" t="n">
        <f aca="false">IF(B242="mass",D242/E242,H242)</f>
        <v>0.0125</v>
      </c>
      <c r="T242" s="12" t="n">
        <f aca="false">IF(B242="mass",F242*G242*D242,0)</f>
        <v>18000</v>
      </c>
    </row>
    <row r="243" customFormat="false" ht="15" hidden="false" customHeight="false" outlineLevel="0" collapsed="false">
      <c r="A243" s="7" t="s">
        <v>46</v>
      </c>
      <c r="B243" s="7" t="str">
        <f aca="false">IF(C243="","none",IF(C243="Cavity","res","mass"))</f>
        <v>none</v>
      </c>
      <c r="C243" s="7" t="str">
        <f aca="false">IF(INDEX(Library!$M$5:$M$34,$U$237)="","",INDEX(Library!$M$5:$M$34,$U$237))</f>
        <v/>
      </c>
      <c r="D243" s="11" t="n">
        <f aca="false">IF(B243="mass",INDEX(Library!$N$5:$N$34,$U$237)/1000,0)</f>
        <v>0</v>
      </c>
      <c r="E243" s="7" t="n">
        <f aca="false">IF(B243="mass",INDEX(Materials!$B$5:$B$28,MATCH(C243,Materials!$A$5:$A$28,0)),0)</f>
        <v>0</v>
      </c>
      <c r="F243" s="7" t="n">
        <f aca="false">IF(B243="mass",INDEX(Materials!$C$5:$C$28,MATCH(C243,Materials!$A$5:$A$28,0)),0)</f>
        <v>0</v>
      </c>
      <c r="G243" s="7" t="n">
        <f aca="false">IF(B243="mass",INDEX(Materials!$D$5:$D$28,MATCH(C243,Materials!$A$5:$A$28,0)),0)</f>
        <v>0</v>
      </c>
      <c r="H243" s="10" t="n">
        <f aca="false">IF(B243="res",INDEX(Library!$N$5:$N$34,$U$237),0)</f>
        <v>0</v>
      </c>
      <c r="I243" s="11" t="n">
        <f aca="false">IF(B243="mass",SQRT(E243*($B$2*3600)/(PI()*F243*G243)),0)</f>
        <v>0</v>
      </c>
      <c r="J243" s="10" t="n">
        <f aca="false">IF(B243="mass",D243/I243,0)</f>
        <v>0</v>
      </c>
      <c r="K243" s="7" t="str">
        <f aca="false">IF(B243="mass",COMPLEX(COSH(J243)*COS(J243),SINH(J243)*SIN(J243)),COMPLEX(1,0))</f>
        <v>1</v>
      </c>
      <c r="L243" s="7" t="str">
        <f aca="false">IF(B243="mass",COMPLEX(-I243/(2*E243)*(SINH(J243)*COS(J243)+COSH(J243)*SIN(J243)),-I243/(2*E243)*(COSH(J243)*SIN(J243)-SINH(J243)*COS(J243))),COMPLEX(-H243,0))</f>
        <v>-0</v>
      </c>
      <c r="M243" s="7" t="str">
        <f aca="false">IF(B243="mass",COMPLEX(-E243/I243*(SINH(J243)*COS(J243)-COSH(J243)*SIN(J243)),-E243/I243*(SINH(J243)*COS(J243)+COSH(J243)*SIN(J243))),COMPLEX(0,0))</f>
        <v>0</v>
      </c>
      <c r="N243" s="7" t="str">
        <f aca="false">K243</f>
        <v>1</v>
      </c>
      <c r="O243" s="7" t="str">
        <f aca="false">IMSUM(IMPRODUCT(K243,O242),IMPRODUCT(L243,Q242))</f>
        <v>-26.515193761867-68.0692353963701i</v>
      </c>
      <c r="P243" s="7" t="str">
        <f aca="false">IMSUM(IMPRODUCT(K243,P242),IMPRODUCT(L243,R242))</f>
        <v>27.4347981773071+19.0422751279011i</v>
      </c>
      <c r="Q243" s="7" t="str">
        <f aca="false">IMSUM(IMPRODUCT(M243,O242),IMPRODUCT(N243,Q242))</f>
        <v>-115.574916307271+99.8957344473506i</v>
      </c>
      <c r="R243" s="7" t="str">
        <f aca="false">IMSUM(IMPRODUCT(M243,P242),IMPRODUCT(N243,R242))</f>
        <v>18.3156534594707-67.3780664001824i</v>
      </c>
      <c r="S243" s="10" t="n">
        <f aca="false">IF(B243="mass",D243/E243,H243)</f>
        <v>0</v>
      </c>
      <c r="T243" s="12" t="n">
        <f aca="false">IF(B243="mass",F243*G243*D243,0)</f>
        <v>0</v>
      </c>
    </row>
    <row r="244" customFormat="false" ht="15" hidden="false" customHeight="false" outlineLevel="0" collapsed="false">
      <c r="A244" s="7" t="s">
        <v>47</v>
      </c>
      <c r="B244" s="7" t="str">
        <f aca="false">IF(C244="","none",IF(C244="Cavity","res","mass"))</f>
        <v>none</v>
      </c>
      <c r="C244" s="7" t="str">
        <f aca="false">IF(INDEX(Library!$O$5:$O$34,$U$237)="","",INDEX(Library!$O$5:$O$34,$U$237))</f>
        <v/>
      </c>
      <c r="D244" s="11" t="n">
        <f aca="false">IF(B244="mass",INDEX(Library!$P$5:$P$34,$U$237)/1000,0)</f>
        <v>0</v>
      </c>
      <c r="E244" s="7" t="n">
        <f aca="false">IF(B244="mass",INDEX(Materials!$B$5:$B$28,MATCH(C244,Materials!$A$5:$A$28,0)),0)</f>
        <v>0</v>
      </c>
      <c r="F244" s="7" t="n">
        <f aca="false">IF(B244="mass",INDEX(Materials!$C$5:$C$28,MATCH(C244,Materials!$A$5:$A$28,0)),0)</f>
        <v>0</v>
      </c>
      <c r="G244" s="7" t="n">
        <f aca="false">IF(B244="mass",INDEX(Materials!$D$5:$D$28,MATCH(C244,Materials!$A$5:$A$28,0)),0)</f>
        <v>0</v>
      </c>
      <c r="H244" s="10" t="n">
        <f aca="false">IF(B244="res",INDEX(Library!$P$5:$P$34,$U$237),0)</f>
        <v>0</v>
      </c>
      <c r="I244" s="11" t="n">
        <f aca="false">IF(B244="mass",SQRT(E244*($B$2*3600)/(PI()*F244*G244)),0)</f>
        <v>0</v>
      </c>
      <c r="J244" s="10" t="n">
        <f aca="false">IF(B244="mass",D244/I244,0)</f>
        <v>0</v>
      </c>
      <c r="K244" s="7" t="str">
        <f aca="false">IF(B244="mass",COMPLEX(COSH(J244)*COS(J244),SINH(J244)*SIN(J244)),COMPLEX(1,0))</f>
        <v>1</v>
      </c>
      <c r="L244" s="7" t="str">
        <f aca="false">IF(B244="mass",COMPLEX(-I244/(2*E244)*(SINH(J244)*COS(J244)+COSH(J244)*SIN(J244)),-I244/(2*E244)*(COSH(J244)*SIN(J244)-SINH(J244)*COS(J244))),COMPLEX(-H244,0))</f>
        <v>-0</v>
      </c>
      <c r="M244" s="7" t="str">
        <f aca="false">IF(B244="mass",COMPLEX(-E244/I244*(SINH(J244)*COS(J244)-COSH(J244)*SIN(J244)),-E244/I244*(SINH(J244)*COS(J244)+COSH(J244)*SIN(J244))),COMPLEX(0,0))</f>
        <v>0</v>
      </c>
      <c r="N244" s="7" t="str">
        <f aca="false">K244</f>
        <v>1</v>
      </c>
      <c r="O244" s="7" t="str">
        <f aca="false">IMSUM(IMPRODUCT(K244,O243),IMPRODUCT(L244,Q243))</f>
        <v>-26.515193761867-68.0692353963701i</v>
      </c>
      <c r="P244" s="7" t="str">
        <f aca="false">IMSUM(IMPRODUCT(K244,P243),IMPRODUCT(L244,R243))</f>
        <v>27.4347981773071+19.0422751279011i</v>
      </c>
      <c r="Q244" s="7" t="str">
        <f aca="false">IMSUM(IMPRODUCT(M244,O243),IMPRODUCT(N244,Q243))</f>
        <v>-115.574916307271+99.8957344473506i</v>
      </c>
      <c r="R244" s="7" t="str">
        <f aca="false">IMSUM(IMPRODUCT(M244,P243),IMPRODUCT(N244,R243))</f>
        <v>18.3156534594707-67.3780664001824i</v>
      </c>
      <c r="S244" s="10" t="n">
        <f aca="false">IF(B244="mass",D244/E244,H244)</f>
        <v>0</v>
      </c>
      <c r="T244" s="12" t="n">
        <f aca="false">IF(B244="mass",F244*G244*D244,0)</f>
        <v>0</v>
      </c>
    </row>
    <row r="245" customFormat="false" ht="15" hidden="false" customHeight="false" outlineLevel="0" collapsed="false">
      <c r="A245" s="7" t="s">
        <v>48</v>
      </c>
      <c r="B245" s="7" t="str">
        <f aca="false">IF(C245="","none",IF(C245="Cavity","res","mass"))</f>
        <v>none</v>
      </c>
      <c r="C245" s="7" t="str">
        <f aca="false">IF(INDEX(Library!$Q$5:$Q$34,$U$237)="","",INDEX(Library!$Q$5:$Q$34,$U$237))</f>
        <v/>
      </c>
      <c r="D245" s="11" t="n">
        <f aca="false">IF(B245="mass",INDEX(Library!$R$5:$R$34,$U$237)/1000,0)</f>
        <v>0</v>
      </c>
      <c r="E245" s="7" t="n">
        <f aca="false">IF(B245="mass",INDEX(Materials!$B$5:$B$28,MATCH(C245,Materials!$A$5:$A$28,0)),0)</f>
        <v>0</v>
      </c>
      <c r="F245" s="7" t="n">
        <f aca="false">IF(B245="mass",INDEX(Materials!$C$5:$C$28,MATCH(C245,Materials!$A$5:$A$28,0)),0)</f>
        <v>0</v>
      </c>
      <c r="G245" s="7" t="n">
        <f aca="false">IF(B245="mass",INDEX(Materials!$D$5:$D$28,MATCH(C245,Materials!$A$5:$A$28,0)),0)</f>
        <v>0</v>
      </c>
      <c r="H245" s="10" t="n">
        <f aca="false">IF(B245="res",INDEX(Library!$R$5:$R$34,$U$237),0)</f>
        <v>0</v>
      </c>
      <c r="I245" s="11" t="n">
        <f aca="false">IF(B245="mass",SQRT(E245*($B$2*3600)/(PI()*F245*G245)),0)</f>
        <v>0</v>
      </c>
      <c r="J245" s="10" t="n">
        <f aca="false">IF(B245="mass",D245/I245,0)</f>
        <v>0</v>
      </c>
      <c r="K245" s="7" t="str">
        <f aca="false">IF(B245="mass",COMPLEX(COSH(J245)*COS(J245),SINH(J245)*SIN(J245)),COMPLEX(1,0))</f>
        <v>1</v>
      </c>
      <c r="L245" s="7" t="str">
        <f aca="false">IF(B245="mass",COMPLEX(-I245/(2*E245)*(SINH(J245)*COS(J245)+COSH(J245)*SIN(J245)),-I245/(2*E245)*(COSH(J245)*SIN(J245)-SINH(J245)*COS(J245))),COMPLEX(-H245,0))</f>
        <v>-0</v>
      </c>
      <c r="M245" s="7" t="str">
        <f aca="false">IF(B245="mass",COMPLEX(-E245/I245*(SINH(J245)*COS(J245)-COSH(J245)*SIN(J245)),-E245/I245*(SINH(J245)*COS(J245)+COSH(J245)*SIN(J245))),COMPLEX(0,0))</f>
        <v>0</v>
      </c>
      <c r="N245" s="7" t="str">
        <f aca="false">K245</f>
        <v>1</v>
      </c>
      <c r="O245" s="7" t="str">
        <f aca="false">IMSUM(IMPRODUCT(K245,O244),IMPRODUCT(L245,Q244))</f>
        <v>-26.515193761867-68.0692353963701i</v>
      </c>
      <c r="P245" s="7" t="str">
        <f aca="false">IMSUM(IMPRODUCT(K245,P244),IMPRODUCT(L245,R244))</f>
        <v>27.4347981773071+19.0422751279011i</v>
      </c>
      <c r="Q245" s="7" t="str">
        <f aca="false">IMSUM(IMPRODUCT(M245,O244),IMPRODUCT(N245,Q244))</f>
        <v>-115.574916307271+99.8957344473506i</v>
      </c>
      <c r="R245" s="7" t="str">
        <f aca="false">IMSUM(IMPRODUCT(M245,P244),IMPRODUCT(N245,R244))</f>
        <v>18.3156534594707-67.3780664001824i</v>
      </c>
      <c r="S245" s="10" t="n">
        <f aca="false">IF(B245="mass",D245/E245,H245)</f>
        <v>0</v>
      </c>
      <c r="T245" s="12" t="n">
        <f aca="false">IF(B245="mass",F245*G245*D245,0)</f>
        <v>0</v>
      </c>
    </row>
    <row r="246" customFormat="false" ht="15" hidden="false" customHeight="false" outlineLevel="0" collapsed="false">
      <c r="A246" s="7" t="s">
        <v>49</v>
      </c>
      <c r="B246" s="7" t="str">
        <f aca="false">IF(C246="","none",IF(C246="Cavity","res","mass"))</f>
        <v>none</v>
      </c>
      <c r="C246" s="7" t="str">
        <f aca="false">IF(INDEX(Library!$S$5:$S$34,$U$237)="","",INDEX(Library!$S$5:$S$34,$U$237))</f>
        <v/>
      </c>
      <c r="D246" s="11" t="n">
        <f aca="false">IF(B246="mass",INDEX(Library!$T$5:$T$34,$U$237)/1000,0)</f>
        <v>0</v>
      </c>
      <c r="E246" s="7" t="n">
        <f aca="false">IF(B246="mass",INDEX(Materials!$B$5:$B$28,MATCH(C246,Materials!$A$5:$A$28,0)),0)</f>
        <v>0</v>
      </c>
      <c r="F246" s="7" t="n">
        <f aca="false">IF(B246="mass",INDEX(Materials!$C$5:$C$28,MATCH(C246,Materials!$A$5:$A$28,0)),0)</f>
        <v>0</v>
      </c>
      <c r="G246" s="7" t="n">
        <f aca="false">IF(B246="mass",INDEX(Materials!$D$5:$D$28,MATCH(C246,Materials!$A$5:$A$28,0)),0)</f>
        <v>0</v>
      </c>
      <c r="H246" s="10" t="n">
        <f aca="false">IF(B246="res",INDEX(Library!$T$5:$T$34,$U$237),0)</f>
        <v>0</v>
      </c>
      <c r="I246" s="11" t="n">
        <f aca="false">IF(B246="mass",SQRT(E246*($B$2*3600)/(PI()*F246*G246)),0)</f>
        <v>0</v>
      </c>
      <c r="J246" s="10" t="n">
        <f aca="false">IF(B246="mass",D246/I246,0)</f>
        <v>0</v>
      </c>
      <c r="K246" s="7" t="str">
        <f aca="false">IF(B246="mass",COMPLEX(COSH(J246)*COS(J246),SINH(J246)*SIN(J246)),COMPLEX(1,0))</f>
        <v>1</v>
      </c>
      <c r="L246" s="7" t="str">
        <f aca="false">IF(B246="mass",COMPLEX(-I246/(2*E246)*(SINH(J246)*COS(J246)+COSH(J246)*SIN(J246)),-I246/(2*E246)*(COSH(J246)*SIN(J246)-SINH(J246)*COS(J246))),COMPLEX(-H246,0))</f>
        <v>-0</v>
      </c>
      <c r="M246" s="7" t="str">
        <f aca="false">IF(B246="mass",COMPLEX(-E246/I246*(SINH(J246)*COS(J246)-COSH(J246)*SIN(J246)),-E246/I246*(SINH(J246)*COS(J246)+COSH(J246)*SIN(J246))),COMPLEX(0,0))</f>
        <v>0</v>
      </c>
      <c r="N246" s="7" t="str">
        <f aca="false">K246</f>
        <v>1</v>
      </c>
      <c r="O246" s="7" t="str">
        <f aca="false">IMSUM(IMPRODUCT(K246,O245),IMPRODUCT(L246,Q245))</f>
        <v>-26.515193761867-68.0692353963701i</v>
      </c>
      <c r="P246" s="7" t="str">
        <f aca="false">IMSUM(IMPRODUCT(K246,P245),IMPRODUCT(L246,R245))</f>
        <v>27.4347981773071+19.0422751279011i</v>
      </c>
      <c r="Q246" s="7" t="str">
        <f aca="false">IMSUM(IMPRODUCT(M246,O245),IMPRODUCT(N246,Q245))</f>
        <v>-115.574916307271+99.8957344473506i</v>
      </c>
      <c r="R246" s="7" t="str">
        <f aca="false">IMSUM(IMPRODUCT(M246,P245),IMPRODUCT(N246,R245))</f>
        <v>18.3156534594707-67.3780664001824i</v>
      </c>
      <c r="S246" s="10" t="n">
        <f aca="false">IF(B246="mass",D246/E246,H246)</f>
        <v>0</v>
      </c>
      <c r="T246" s="12" t="n">
        <f aca="false">IF(B246="mass",F246*G246*D246,0)</f>
        <v>0</v>
      </c>
    </row>
    <row r="247" customFormat="false" ht="15" hidden="false" customHeight="false" outlineLevel="0" collapsed="false">
      <c r="A247" s="7" t="s">
        <v>50</v>
      </c>
      <c r="B247" s="7" t="str">
        <f aca="false">IF(C247="","none",IF(C247="Cavity","res","mass"))</f>
        <v>none</v>
      </c>
      <c r="C247" s="7" t="str">
        <f aca="false">IF(INDEX(Library!$U$5:$U$34,$U$237)="","",INDEX(Library!$U$5:$U$34,$U$237))</f>
        <v/>
      </c>
      <c r="D247" s="11" t="n">
        <f aca="false">IF(B247="mass",INDEX(Library!$V$5:$V$34,$U$237)/1000,0)</f>
        <v>0</v>
      </c>
      <c r="E247" s="7" t="n">
        <f aca="false">IF(B247="mass",INDEX(Materials!$B$5:$B$28,MATCH(C247,Materials!$A$5:$A$28,0)),0)</f>
        <v>0</v>
      </c>
      <c r="F247" s="7" t="n">
        <f aca="false">IF(B247="mass",INDEX(Materials!$C$5:$C$28,MATCH(C247,Materials!$A$5:$A$28,0)),0)</f>
        <v>0</v>
      </c>
      <c r="G247" s="7" t="n">
        <f aca="false">IF(B247="mass",INDEX(Materials!$D$5:$D$28,MATCH(C247,Materials!$A$5:$A$28,0)),0)</f>
        <v>0</v>
      </c>
      <c r="H247" s="10" t="n">
        <f aca="false">IF(B247="res",INDEX(Library!$V$5:$V$34,$U$237),0)</f>
        <v>0</v>
      </c>
      <c r="I247" s="11" t="n">
        <f aca="false">IF(B247="mass",SQRT(E247*($B$2*3600)/(PI()*F247*G247)),0)</f>
        <v>0</v>
      </c>
      <c r="J247" s="10" t="n">
        <f aca="false">IF(B247="mass",D247/I247,0)</f>
        <v>0</v>
      </c>
      <c r="K247" s="7" t="str">
        <f aca="false">IF(B247="mass",COMPLEX(COSH(J247)*COS(J247),SINH(J247)*SIN(J247)),COMPLEX(1,0))</f>
        <v>1</v>
      </c>
      <c r="L247" s="7" t="str">
        <f aca="false">IF(B247="mass",COMPLEX(-I247/(2*E247)*(SINH(J247)*COS(J247)+COSH(J247)*SIN(J247)),-I247/(2*E247)*(COSH(J247)*SIN(J247)-SINH(J247)*COS(J247))),COMPLEX(-H247,0))</f>
        <v>-0</v>
      </c>
      <c r="M247" s="7" t="str">
        <f aca="false">IF(B247="mass",COMPLEX(-E247/I247*(SINH(J247)*COS(J247)-COSH(J247)*SIN(J247)),-E247/I247*(SINH(J247)*COS(J247)+COSH(J247)*SIN(J247))),COMPLEX(0,0))</f>
        <v>0</v>
      </c>
      <c r="N247" s="7" t="str">
        <f aca="false">K247</f>
        <v>1</v>
      </c>
      <c r="O247" s="7" t="str">
        <f aca="false">IMSUM(IMPRODUCT(K247,O246),IMPRODUCT(L247,Q246))</f>
        <v>-26.515193761867-68.0692353963701i</v>
      </c>
      <c r="P247" s="7" t="str">
        <f aca="false">IMSUM(IMPRODUCT(K247,P246),IMPRODUCT(L247,R246))</f>
        <v>27.4347981773071+19.0422751279011i</v>
      </c>
      <c r="Q247" s="7" t="str">
        <f aca="false">IMSUM(IMPRODUCT(M247,O246),IMPRODUCT(N247,Q246))</f>
        <v>-115.574916307271+99.8957344473506i</v>
      </c>
      <c r="R247" s="7" t="str">
        <f aca="false">IMSUM(IMPRODUCT(M247,P246),IMPRODUCT(N247,R246))</f>
        <v>18.3156534594707-67.3780664001824i</v>
      </c>
      <c r="S247" s="10" t="n">
        <f aca="false">IF(B247="mass",D247/E247,H247)</f>
        <v>0</v>
      </c>
      <c r="T247" s="12" t="n">
        <f aca="false">IF(B247="mass",F247*G247*D247,0)</f>
        <v>0</v>
      </c>
    </row>
    <row r="248" customFormat="false" ht="15" hidden="false" customHeight="false" outlineLevel="0" collapsed="false">
      <c r="A248" s="7" t="s">
        <v>51</v>
      </c>
      <c r="B248" s="7" t="str">
        <f aca="false">IF($W$237="ground","mass",IF($W$237="adiabatic","res","none"))</f>
        <v>none</v>
      </c>
      <c r="C248" s="7" t="str">
        <f aca="false">IF($W$237="ground","clay soil","")</f>
        <v/>
      </c>
      <c r="D248" s="11" t="n">
        <f aca="false">IF(B248="mass",1,0)</f>
        <v>0</v>
      </c>
      <c r="E248" s="7" t="n">
        <f aca="false">IF(B248="mass",INDEX(Materials!$B$5:$B$28,MATCH(C248,Materials!$A$5:$A$28,0)),0)</f>
        <v>0</v>
      </c>
      <c r="F248" s="7" t="n">
        <f aca="false">IF(B248="mass",INDEX(Materials!$C$5:$C$28,MATCH(C248,Materials!$A$5:$A$28,0)),0)</f>
        <v>0</v>
      </c>
      <c r="G248" s="7" t="n">
        <f aca="false">IF(B248="mass",INDEX(Materials!$D$5:$D$28,MATCH(C248,Materials!$A$5:$A$28,0)),0)</f>
        <v>0</v>
      </c>
      <c r="H248" s="12" t="n">
        <f aca="false">IF(B248="res",1000000,0)</f>
        <v>0</v>
      </c>
      <c r="I248" s="11" t="n">
        <f aca="false">IF(B248="mass",SQRT(E248*($B$2*3600)/(PI()*F248*G248)),0)</f>
        <v>0</v>
      </c>
      <c r="J248" s="10" t="n">
        <f aca="false">IF(B248="mass",D248/I248,0)</f>
        <v>0</v>
      </c>
      <c r="K248" s="7" t="str">
        <f aca="false">IF(B248="mass",COMPLEX(COSH(J248)*COS(J248),SINH(J248)*SIN(J248)),COMPLEX(1,0))</f>
        <v>1</v>
      </c>
      <c r="L248" s="7" t="str">
        <f aca="false">IF(B248="mass",COMPLEX(-I248/(2*E248)*(SINH(J248)*COS(J248)+COSH(J248)*SIN(J248)),-I248/(2*E248)*(COSH(J248)*SIN(J248)-SINH(J248)*COS(J248))),COMPLEX(-H248,0))</f>
        <v>-0</v>
      </c>
      <c r="M248" s="7" t="str">
        <f aca="false">IF(B248="mass",COMPLEX(-E248/I248*(SINH(J248)*COS(J248)-COSH(J248)*SIN(J248)),-E248/I248*(SINH(J248)*COS(J248)+COSH(J248)*SIN(J248))),COMPLEX(0,0))</f>
        <v>0</v>
      </c>
      <c r="N248" s="7" t="str">
        <f aca="false">K248</f>
        <v>1</v>
      </c>
      <c r="O248" s="7" t="str">
        <f aca="false">IMSUM(IMPRODUCT(K248,O247),IMPRODUCT(L248,Q247))</f>
        <v>-26.515193761867-68.0692353963701i</v>
      </c>
      <c r="P248" s="7" t="str">
        <f aca="false">IMSUM(IMPRODUCT(K248,P247),IMPRODUCT(L248,R247))</f>
        <v>27.4347981773071+19.0422751279011i</v>
      </c>
      <c r="Q248" s="7" t="str">
        <f aca="false">IMSUM(IMPRODUCT(M248,O247),IMPRODUCT(N248,Q247))</f>
        <v>-115.574916307271+99.8957344473506i</v>
      </c>
      <c r="R248" s="7" t="str">
        <f aca="false">IMSUM(IMPRODUCT(M248,P247),IMPRODUCT(N248,R247))</f>
        <v>18.3156534594707-67.3780664001824i</v>
      </c>
      <c r="S248" s="10" t="n">
        <f aca="false">IF(B248="mass",D248/E248,H248)</f>
        <v>0</v>
      </c>
      <c r="T248" s="12" t="n">
        <f aca="false">IF(B248="mass",F248*G248*D248,0)</f>
        <v>0</v>
      </c>
    </row>
    <row r="249" customFormat="false" ht="15" hidden="false" customHeight="false" outlineLevel="0" collapsed="false">
      <c r="A249" s="7" t="s">
        <v>52</v>
      </c>
      <c r="B249" s="7" t="s">
        <v>42</v>
      </c>
      <c r="H249" s="10" t="n">
        <f aca="false">IF($W$237="ext",0.04,IF($W$237="room",$Y$237,0))</f>
        <v>0.04</v>
      </c>
      <c r="I249" s="11" t="n">
        <f aca="false">IF(B249="mass",SQRT(E249*($B$2*3600)/(PI()*F249*G249)),0)</f>
        <v>0</v>
      </c>
      <c r="J249" s="10" t="n">
        <f aca="false">IF(B249="mass",D249/I249,0)</f>
        <v>0</v>
      </c>
      <c r="K249" s="7" t="str">
        <f aca="false">IF(B249="mass",COMPLEX(COSH(J249)*COS(J249),SINH(J249)*SIN(J249)),COMPLEX(1,0))</f>
        <v>1</v>
      </c>
      <c r="L249" s="7" t="str">
        <f aca="false">IF(B249="mass",COMPLEX(-I249/(2*E249)*(SINH(J249)*COS(J249)+COSH(J249)*SIN(J249)),-I249/(2*E249)*(COSH(J249)*SIN(J249)-SINH(J249)*COS(J249))),COMPLEX(-H249,0))</f>
        <v>-0.04</v>
      </c>
      <c r="M249" s="7" t="str">
        <f aca="false">IF(B249="mass",COMPLEX(-E249/I249*(SINH(J249)*COS(J249)-COSH(J249)*SIN(J249)),-E249/I249*(SINH(J249)*COS(J249)+COSH(J249)*SIN(J249))),COMPLEX(0,0))</f>
        <v>0</v>
      </c>
      <c r="N249" s="7" t="str">
        <f aca="false">K249</f>
        <v>1</v>
      </c>
      <c r="O249" s="7" t="str">
        <f aca="false">IMSUM(IMPRODUCT(K249,O248),IMPRODUCT(L249,Q248))</f>
        <v>-21.8921971095762-72.0650647742641i</v>
      </c>
      <c r="P249" s="7" t="str">
        <f aca="false">IMSUM(IMPRODUCT(K249,P248),IMPRODUCT(L249,R248))</f>
        <v>26.7021720389283+21.7373977839084i</v>
      </c>
      <c r="Q249" s="7" t="str">
        <f aca="false">IMSUM(IMPRODUCT(M249,O248),IMPRODUCT(N249,Q248))</f>
        <v>-115.574916307271+99.8957344473506i</v>
      </c>
      <c r="R249" s="7" t="str">
        <f aca="false">IMSUM(IMPRODUCT(M249,P248),IMPRODUCT(N249,R248))</f>
        <v>18.3156534594707-67.3780664001824i</v>
      </c>
      <c r="S249" s="10" t="n">
        <f aca="false">IF(B249="mass",D249/E249,H249)</f>
        <v>0.04</v>
      </c>
      <c r="T249" s="12" t="n">
        <f aca="false">IF(B249="mass",F249*G249*D249,0)</f>
        <v>0</v>
      </c>
    </row>
    <row r="250" customFormat="false" ht="15" hidden="false" customHeight="false" outlineLevel="0" collapsed="false">
      <c r="A250" s="9" t="s">
        <v>53</v>
      </c>
      <c r="B250" s="13" t="n">
        <f aca="false">IF(OR($W$237="ext",$W$237="ground"),1/SUM(S239:S249),"–")</f>
        <v>0.193713715440826</v>
      </c>
      <c r="C250" s="9" t="s">
        <v>54</v>
      </c>
      <c r="D250" s="13" t="n">
        <f aca="false">IMABS(IMDIV(IMPRODUCT(O249,COMPLEX(-1,0)),P249))</f>
        <v>2.18745011082907</v>
      </c>
      <c r="E250" s="9" t="s">
        <v>55</v>
      </c>
      <c r="F250" s="14" t="n">
        <f aca="false">IMARGUMENT(IMDIV(IMPRODUCT(O249,COMPLEX(-1,0)),P249))*$B$2/(2*PI())</f>
        <v>2.26360794147914</v>
      </c>
      <c r="G250" s="9" t="s">
        <v>56</v>
      </c>
      <c r="H250" s="13" t="n">
        <f aca="false">IF($W$237="ext",IMABS(IMDIV(COMPLEX(-1,0),P249))*SUM(S239:S249),"–")</f>
        <v>0.149928813231233</v>
      </c>
      <c r="I250" s="9" t="s">
        <v>57</v>
      </c>
      <c r="J250" s="14" t="n">
        <f aca="false">IF($W$237="ext",MOD(-IMARGUMENT(IMDIV(COMPLEX(-1,0),P249))*$B$2/(2*PI()),24),"–")</f>
        <v>14.6098633795862</v>
      </c>
      <c r="K250" s="9" t="s">
        <v>58</v>
      </c>
      <c r="L250" s="15" t="n">
        <f aca="false">($B$2*3600)/(2*PI())*IMABS(IMDIV(IMSUB(O249,COMPLEX(1,0)),P249))/1000</f>
        <v>30.1981010521682</v>
      </c>
      <c r="M250" s="9" t="s">
        <v>59</v>
      </c>
      <c r="N250" s="15" t="n">
        <f aca="false">SUM(T240:T247)/1000</f>
        <v>146.96</v>
      </c>
      <c r="O250" s="9" t="s">
        <v>60</v>
      </c>
      <c r="P250" s="16" t="n">
        <f aca="false">SUM(S240:S247)</f>
        <v>4.99225708502024</v>
      </c>
    </row>
    <row r="252" customFormat="false" ht="15" hidden="false" customHeight="false" outlineLevel="0" collapsed="false">
      <c r="A252" s="4" t="s">
        <v>95</v>
      </c>
    </row>
    <row r="253" customFormat="false" ht="15" hidden="false" customHeight="false" outlineLevel="0" collapsed="false">
      <c r="A253" s="9"/>
      <c r="B253" s="9" t="s">
        <v>62</v>
      </c>
      <c r="C253" s="9" t="s">
        <v>63</v>
      </c>
      <c r="D253" s="9"/>
      <c r="E253" s="9"/>
      <c r="F253" s="9"/>
      <c r="G253" s="9"/>
      <c r="H253" s="9"/>
      <c r="I253" s="9"/>
      <c r="J253" s="9"/>
      <c r="K253" s="9" t="s">
        <v>32</v>
      </c>
      <c r="L253" s="9" t="s">
        <v>33</v>
      </c>
      <c r="M253" s="9" t="s">
        <v>34</v>
      </c>
      <c r="N253" s="9" t="s">
        <v>35</v>
      </c>
      <c r="O253" s="9" t="s">
        <v>36</v>
      </c>
      <c r="P253" s="9" t="s">
        <v>37</v>
      </c>
      <c r="Q253" s="9" t="s">
        <v>38</v>
      </c>
      <c r="R253" s="9" t="s">
        <v>39</v>
      </c>
    </row>
    <row r="254" customFormat="false" ht="15" hidden="false" customHeight="false" outlineLevel="0" collapsed="false">
      <c r="A254" s="7" t="s">
        <v>22</v>
      </c>
      <c r="B254" s="7" t="s">
        <v>42</v>
      </c>
      <c r="C254" s="10" t="n">
        <f aca="false">$Y$237</f>
        <v>0.13</v>
      </c>
      <c r="K254" s="7" t="str">
        <f aca="false">COMPLEX(1,0)</f>
        <v>1</v>
      </c>
      <c r="L254" s="7" t="str">
        <f aca="false">COMPLEX(-C254,0)</f>
        <v>-0.13</v>
      </c>
      <c r="M254" s="7" t="str">
        <f aca="false">COMPLEX(0,0)</f>
        <v>0</v>
      </c>
      <c r="N254" s="7" t="str">
        <f aca="false">COMPLEX(1,0)</f>
        <v>1</v>
      </c>
      <c r="O254" s="7" t="str">
        <f aca="false">K254</f>
        <v>1</v>
      </c>
      <c r="P254" s="7" t="str">
        <f aca="false">L254</f>
        <v>-0.13</v>
      </c>
      <c r="Q254" s="7" t="str">
        <f aca="false">M254</f>
        <v>0</v>
      </c>
      <c r="R254" s="7" t="str">
        <f aca="false">N254</f>
        <v>1</v>
      </c>
    </row>
    <row r="255" customFormat="false" ht="15" hidden="false" customHeight="false" outlineLevel="0" collapsed="false">
      <c r="A255" s="7" t="s">
        <v>64</v>
      </c>
      <c r="B255" s="7" t="s">
        <v>65</v>
      </c>
      <c r="C255" s="10" t="n">
        <f aca="false">INDEX(Classes!$B$5:$F$9,MATCH(Engine!$C$236,Classes!$A$5:$A$9,0),5)*(N250*1000)</f>
        <v>146960</v>
      </c>
      <c r="K255" s="7" t="str">
        <f aca="false">COMPLEX(1,0)</f>
        <v>1</v>
      </c>
      <c r="L255" s="7" t="str">
        <f aca="false">COMPLEX(0,0)</f>
        <v>0</v>
      </c>
      <c r="M255" s="7" t="str">
        <f aca="false">COMPLEX(0,-(2*PI()/($B$2*3600))*C255)</f>
        <v>-10.6872327863786i</v>
      </c>
      <c r="N255" s="7" t="str">
        <f aca="false">COMPLEX(1,0)</f>
        <v>1</v>
      </c>
      <c r="O255" s="7" t="str">
        <f aca="false">IMSUM(IMPRODUCT(K255,O254),IMPRODUCT(L255,Q254))</f>
        <v>1</v>
      </c>
      <c r="P255" s="7" t="str">
        <f aca="false">IMSUM(IMPRODUCT(K255,P254),IMPRODUCT(L255,R254))</f>
        <v>-0.13</v>
      </c>
      <c r="Q255" s="7" t="str">
        <f aca="false">IMSUM(IMPRODUCT(M255,O254),IMPRODUCT(N255,Q254))</f>
        <v>-10.6872327863786i</v>
      </c>
      <c r="R255" s="7" t="str">
        <f aca="false">IMSUM(IMPRODUCT(M255,P254),IMPRODUCT(N255,R254))</f>
        <v>1+1.38934026222922i</v>
      </c>
    </row>
    <row r="256" customFormat="false" ht="15" hidden="false" customHeight="false" outlineLevel="0" collapsed="false">
      <c r="A256" s="7" t="s">
        <v>66</v>
      </c>
      <c r="B256" s="7" t="s">
        <v>42</v>
      </c>
      <c r="C256" s="10" t="n">
        <f aca="false">P250/6</f>
        <v>0.832042847503374</v>
      </c>
      <c r="K256" s="7" t="str">
        <f aca="false">COMPLEX(1,0)</f>
        <v>1</v>
      </c>
      <c r="L256" s="7" t="str">
        <f aca="false">COMPLEX(-C256,0)</f>
        <v>-0.832042847503374</v>
      </c>
      <c r="M256" s="7" t="str">
        <f aca="false">COMPLEX(0,0)</f>
        <v>0</v>
      </c>
      <c r="N256" s="7" t="str">
        <f aca="false">COMPLEX(1,0)</f>
        <v>1</v>
      </c>
      <c r="O256" s="7" t="str">
        <f aca="false">IMSUM(IMPRODUCT(K256,O255),IMPRODUCT(L256,Q255))</f>
        <v>1+8.89223559950987i</v>
      </c>
      <c r="P256" s="7" t="str">
        <f aca="false">IMSUM(IMPRODUCT(K256,P255),IMPRODUCT(L256,R255))</f>
        <v>-0.962042847503374-1.15599062793629i</v>
      </c>
      <c r="Q256" s="7" t="str">
        <f aca="false">IMSUM(IMPRODUCT(M256,O255),IMPRODUCT(N256,Q255))</f>
        <v>-10.6872327863786i</v>
      </c>
      <c r="R256" s="7" t="str">
        <f aca="false">IMSUM(IMPRODUCT(M256,P255),IMPRODUCT(N256,R255))</f>
        <v>1+1.38934026222922i</v>
      </c>
    </row>
    <row r="257" customFormat="false" ht="15" hidden="false" customHeight="false" outlineLevel="0" collapsed="false">
      <c r="A257" s="7" t="s">
        <v>67</v>
      </c>
      <c r="B257" s="7" t="s">
        <v>65</v>
      </c>
      <c r="C257" s="10" t="n">
        <f aca="false">INDEX(Classes!$B$5:$F$9,MATCH(Engine!$C$236,Classes!$A$5:$A$9,0),4)*(N250*1000)</f>
        <v>0</v>
      </c>
      <c r="K257" s="7" t="str">
        <f aca="false">COMPLEX(1,0)</f>
        <v>1</v>
      </c>
      <c r="L257" s="7" t="str">
        <f aca="false">COMPLEX(0,0)</f>
        <v>0</v>
      </c>
      <c r="M257" s="7" t="str">
        <f aca="false">COMPLEX(0,-(2*PI()/($B$2*3600))*C257)</f>
        <v>0</v>
      </c>
      <c r="N257" s="7" t="str">
        <f aca="false">COMPLEX(1,0)</f>
        <v>1</v>
      </c>
      <c r="O257" s="7" t="str">
        <f aca="false">IMSUM(IMPRODUCT(K257,O256),IMPRODUCT(L257,Q256))</f>
        <v>1+8.89223559950987i</v>
      </c>
      <c r="P257" s="7" t="str">
        <f aca="false">IMSUM(IMPRODUCT(K257,P256),IMPRODUCT(L257,R256))</f>
        <v>-0.962042847503374-1.15599062793629i</v>
      </c>
      <c r="Q257" s="7" t="str">
        <f aca="false">IMSUM(IMPRODUCT(M257,O256),IMPRODUCT(N257,Q256))</f>
        <v>-10.6872327863786i</v>
      </c>
      <c r="R257" s="7" t="str">
        <f aca="false">IMSUM(IMPRODUCT(M257,P256),IMPRODUCT(N257,R256))</f>
        <v>1+1.38934026222922i</v>
      </c>
    </row>
    <row r="258" customFormat="false" ht="15" hidden="false" customHeight="false" outlineLevel="0" collapsed="false">
      <c r="A258" s="7" t="s">
        <v>68</v>
      </c>
      <c r="B258" s="7" t="s">
        <v>42</v>
      </c>
      <c r="C258" s="10" t="n">
        <f aca="false">P250/3</f>
        <v>1.66408569500675</v>
      </c>
      <c r="K258" s="7" t="str">
        <f aca="false">COMPLEX(1,0)</f>
        <v>1</v>
      </c>
      <c r="L258" s="7" t="str">
        <f aca="false">COMPLEX(-C258,0)</f>
        <v>-1.66408569500675</v>
      </c>
      <c r="M258" s="7" t="str">
        <f aca="false">COMPLEX(0,0)</f>
        <v>0</v>
      </c>
      <c r="N258" s="7" t="str">
        <f aca="false">COMPLEX(1,0)</f>
        <v>1</v>
      </c>
      <c r="O258" s="7" t="str">
        <f aca="false">IMSUM(IMPRODUCT(K258,O257),IMPRODUCT(L258,Q257))</f>
        <v>1+26.6767067985297i</v>
      </c>
      <c r="P258" s="7" t="str">
        <f aca="false">IMSUM(IMPRODUCT(K258,P257),IMPRODUCT(L258,R257))</f>
        <v>-2.62612854251012-3.46797188380886i</v>
      </c>
      <c r="Q258" s="7" t="str">
        <f aca="false">IMSUM(IMPRODUCT(M258,O257),IMPRODUCT(N258,Q257))</f>
        <v>-10.6872327863786i</v>
      </c>
      <c r="R258" s="7" t="str">
        <f aca="false">IMSUM(IMPRODUCT(M258,P257),IMPRODUCT(N258,R257))</f>
        <v>1+1.38934026222922i</v>
      </c>
    </row>
    <row r="259" customFormat="false" ht="15" hidden="false" customHeight="false" outlineLevel="0" collapsed="false">
      <c r="A259" s="7" t="s">
        <v>69</v>
      </c>
      <c r="B259" s="7" t="s">
        <v>65</v>
      </c>
      <c r="C259" s="10" t="n">
        <f aca="false">INDEX(Classes!$B$5:$F$9,MATCH(Engine!$C$236,Classes!$A$5:$A$9,0),3)*(N250*1000)</f>
        <v>0</v>
      </c>
      <c r="K259" s="7" t="str">
        <f aca="false">COMPLEX(1,0)</f>
        <v>1</v>
      </c>
      <c r="L259" s="7" t="str">
        <f aca="false">COMPLEX(0,0)</f>
        <v>0</v>
      </c>
      <c r="M259" s="7" t="str">
        <f aca="false">COMPLEX(0,-(2*PI()/($B$2*3600))*C259)</f>
        <v>0</v>
      </c>
      <c r="N259" s="7" t="str">
        <f aca="false">COMPLEX(1,0)</f>
        <v>1</v>
      </c>
      <c r="O259" s="7" t="str">
        <f aca="false">IMSUM(IMPRODUCT(K259,O258),IMPRODUCT(L259,Q258))</f>
        <v>1+26.6767067985297i</v>
      </c>
      <c r="P259" s="7" t="str">
        <f aca="false">IMSUM(IMPRODUCT(K259,P258),IMPRODUCT(L259,R258))</f>
        <v>-2.62612854251012-3.46797188380886i</v>
      </c>
      <c r="Q259" s="7" t="str">
        <f aca="false">IMSUM(IMPRODUCT(M259,O258),IMPRODUCT(N259,Q258))</f>
        <v>-10.6872327863786i</v>
      </c>
      <c r="R259" s="7" t="str">
        <f aca="false">IMSUM(IMPRODUCT(M259,P258),IMPRODUCT(N259,R258))</f>
        <v>1+1.38934026222922i</v>
      </c>
    </row>
    <row r="260" customFormat="false" ht="15" hidden="false" customHeight="false" outlineLevel="0" collapsed="false">
      <c r="A260" s="7" t="s">
        <v>68</v>
      </c>
      <c r="B260" s="7" t="s">
        <v>42</v>
      </c>
      <c r="C260" s="10" t="n">
        <f aca="false">P250/3</f>
        <v>1.66408569500675</v>
      </c>
      <c r="K260" s="7" t="str">
        <f aca="false">COMPLEX(1,0)</f>
        <v>1</v>
      </c>
      <c r="L260" s="7" t="str">
        <f aca="false">COMPLEX(-C260,0)</f>
        <v>-1.66408569500675</v>
      </c>
      <c r="M260" s="7" t="str">
        <f aca="false">COMPLEX(0,0)</f>
        <v>0</v>
      </c>
      <c r="N260" s="7" t="str">
        <f aca="false">COMPLEX(1,0)</f>
        <v>1</v>
      </c>
      <c r="O260" s="7" t="str">
        <f aca="false">IMSUM(IMPRODUCT(K260,O259),IMPRODUCT(L260,Q259))</f>
        <v>1+44.4611779975495i</v>
      </c>
      <c r="P260" s="7" t="str">
        <f aca="false">IMSUM(IMPRODUCT(K260,P259),IMPRODUCT(L260,R259))</f>
        <v>-4.29021423751687-5.77995313968143i</v>
      </c>
      <c r="Q260" s="7" t="str">
        <f aca="false">IMSUM(IMPRODUCT(M260,O259),IMPRODUCT(N260,Q259))</f>
        <v>-10.6872327863786i</v>
      </c>
      <c r="R260" s="7" t="str">
        <f aca="false">IMSUM(IMPRODUCT(M260,P259),IMPRODUCT(N260,R259))</f>
        <v>1+1.38934026222922i</v>
      </c>
    </row>
    <row r="261" customFormat="false" ht="15" hidden="false" customHeight="false" outlineLevel="0" collapsed="false">
      <c r="A261" s="7" t="s">
        <v>70</v>
      </c>
      <c r="B261" s="7" t="s">
        <v>65</v>
      </c>
      <c r="C261" s="10" t="n">
        <f aca="false">INDEX(Classes!$B$5:$F$9,MATCH(Engine!$C$236,Classes!$A$5:$A$9,0),2)*(N250*1000)</f>
        <v>0</v>
      </c>
      <c r="K261" s="7" t="str">
        <f aca="false">COMPLEX(1,0)</f>
        <v>1</v>
      </c>
      <c r="L261" s="7" t="str">
        <f aca="false">COMPLEX(0,0)</f>
        <v>0</v>
      </c>
      <c r="M261" s="7" t="str">
        <f aca="false">COMPLEX(0,-(2*PI()/($B$2*3600))*C261)</f>
        <v>0</v>
      </c>
      <c r="N261" s="7" t="str">
        <f aca="false">COMPLEX(1,0)</f>
        <v>1</v>
      </c>
      <c r="O261" s="7" t="str">
        <f aca="false">IMSUM(IMPRODUCT(K261,O260),IMPRODUCT(L261,Q260))</f>
        <v>1+44.4611779975495i</v>
      </c>
      <c r="P261" s="7" t="str">
        <f aca="false">IMSUM(IMPRODUCT(K261,P260),IMPRODUCT(L261,R260))</f>
        <v>-4.29021423751687-5.77995313968143i</v>
      </c>
      <c r="Q261" s="7" t="str">
        <f aca="false">IMSUM(IMPRODUCT(M261,O260),IMPRODUCT(N261,Q260))</f>
        <v>-10.6872327863786i</v>
      </c>
      <c r="R261" s="7" t="str">
        <f aca="false">IMSUM(IMPRODUCT(M261,P260),IMPRODUCT(N261,R260))</f>
        <v>1+1.38934026222922i</v>
      </c>
    </row>
    <row r="262" customFormat="false" ht="15" hidden="false" customHeight="false" outlineLevel="0" collapsed="false">
      <c r="A262" s="7" t="s">
        <v>66</v>
      </c>
      <c r="B262" s="7" t="s">
        <v>42</v>
      </c>
      <c r="C262" s="10" t="n">
        <f aca="false">P250/6</f>
        <v>0.832042847503374</v>
      </c>
      <c r="K262" s="7" t="str">
        <f aca="false">COMPLEX(1,0)</f>
        <v>1</v>
      </c>
      <c r="L262" s="7" t="str">
        <f aca="false">COMPLEX(-C262,0)</f>
        <v>-0.832042847503374</v>
      </c>
      <c r="M262" s="7" t="str">
        <f aca="false">COMPLEX(0,0)</f>
        <v>0</v>
      </c>
      <c r="N262" s="7" t="str">
        <f aca="false">COMPLEX(1,0)</f>
        <v>1</v>
      </c>
      <c r="O262" s="7" t="str">
        <f aca="false">IMSUM(IMPRODUCT(K262,O261),IMPRODUCT(L262,Q261))</f>
        <v>1+53.3534135970594i</v>
      </c>
      <c r="P262" s="7" t="str">
        <f aca="false">IMSUM(IMPRODUCT(K262,P261),IMPRODUCT(L262,R261))</f>
        <v>-5.12225708502024-6.93594376761772i</v>
      </c>
      <c r="Q262" s="7" t="str">
        <f aca="false">IMSUM(IMPRODUCT(M262,O261),IMPRODUCT(N262,Q261))</f>
        <v>-10.6872327863786i</v>
      </c>
      <c r="R262" s="7" t="str">
        <f aca="false">IMSUM(IMPRODUCT(M262,P261),IMPRODUCT(N262,R261))</f>
        <v>1+1.38934026222922i</v>
      </c>
    </row>
    <row r="263" customFormat="false" ht="15" hidden="false" customHeight="false" outlineLevel="0" collapsed="false">
      <c r="A263" s="7" t="s">
        <v>71</v>
      </c>
      <c r="B263" s="7" t="s">
        <v>65</v>
      </c>
      <c r="C263" s="10" t="n">
        <f aca="false">INDEX(Classes!$B$5:$F$9,MATCH(Engine!$C$236,Classes!$A$5:$A$9,0),1)*(N250*1000)</f>
        <v>0</v>
      </c>
      <c r="K263" s="7" t="str">
        <f aca="false">COMPLEX(1,0)</f>
        <v>1</v>
      </c>
      <c r="L263" s="7" t="str">
        <f aca="false">COMPLEX(0,0)</f>
        <v>0</v>
      </c>
      <c r="M263" s="7" t="str">
        <f aca="false">COMPLEX(0,-(2*PI()/($B$2*3600))*C263)</f>
        <v>0</v>
      </c>
      <c r="N263" s="7" t="str">
        <f aca="false">COMPLEX(1,0)</f>
        <v>1</v>
      </c>
      <c r="O263" s="7" t="str">
        <f aca="false">IMSUM(IMPRODUCT(K263,O262),IMPRODUCT(L263,Q262))</f>
        <v>1+53.3534135970594i</v>
      </c>
      <c r="P263" s="7" t="str">
        <f aca="false">IMSUM(IMPRODUCT(K263,P262),IMPRODUCT(L263,R262))</f>
        <v>-5.12225708502024-6.93594376761772i</v>
      </c>
      <c r="Q263" s="7" t="str">
        <f aca="false">IMSUM(IMPRODUCT(M263,O262),IMPRODUCT(N263,Q262))</f>
        <v>-10.6872327863786i</v>
      </c>
      <c r="R263" s="7" t="str">
        <f aca="false">IMSUM(IMPRODUCT(M263,P262),IMPRODUCT(N263,R262))</f>
        <v>1+1.38934026222922i</v>
      </c>
    </row>
    <row r="264" customFormat="false" ht="15" hidden="false" customHeight="false" outlineLevel="0" collapsed="false">
      <c r="A264" s="7" t="s">
        <v>72</v>
      </c>
      <c r="B264" s="7" t="s">
        <v>73</v>
      </c>
      <c r="K264" s="7" t="str">
        <f aca="false">K248</f>
        <v>1</v>
      </c>
      <c r="L264" s="7" t="str">
        <f aca="false">L248</f>
        <v>-0</v>
      </c>
      <c r="M264" s="7" t="str">
        <f aca="false">M248</f>
        <v>0</v>
      </c>
      <c r="N264" s="7" t="str">
        <f aca="false">N248</f>
        <v>1</v>
      </c>
      <c r="O264" s="7" t="str">
        <f aca="false">IMSUM(IMPRODUCT(K264,O263),IMPRODUCT(L264,Q263))</f>
        <v>1+53.3534135970594i</v>
      </c>
      <c r="P264" s="7" t="str">
        <f aca="false">IMSUM(IMPRODUCT(K264,P263),IMPRODUCT(L264,R263))</f>
        <v>-5.12225708502024-6.93594376761772i</v>
      </c>
      <c r="Q264" s="7" t="str">
        <f aca="false">IMSUM(IMPRODUCT(M264,O263),IMPRODUCT(N264,Q263))</f>
        <v>-10.6872327863786i</v>
      </c>
      <c r="R264" s="7" t="str">
        <f aca="false">IMSUM(IMPRODUCT(M264,P263),IMPRODUCT(N264,R263))</f>
        <v>1+1.38934026222922i</v>
      </c>
    </row>
    <row r="265" customFormat="false" ht="15" hidden="false" customHeight="false" outlineLevel="0" collapsed="false">
      <c r="A265" s="7" t="s">
        <v>52</v>
      </c>
      <c r="B265" s="7" t="s">
        <v>73</v>
      </c>
      <c r="K265" s="7" t="str">
        <f aca="false">K249</f>
        <v>1</v>
      </c>
      <c r="L265" s="7" t="str">
        <f aca="false">L249</f>
        <v>-0.04</v>
      </c>
      <c r="M265" s="7" t="str">
        <f aca="false">M249</f>
        <v>0</v>
      </c>
      <c r="N265" s="7" t="str">
        <f aca="false">N249</f>
        <v>1</v>
      </c>
      <c r="O265" s="7" t="str">
        <f aca="false">IMSUM(IMPRODUCT(K265,O264),IMPRODUCT(L265,Q264))</f>
        <v>1+53.7809029085145i</v>
      </c>
      <c r="P265" s="7" t="str">
        <f aca="false">IMSUM(IMPRODUCT(K265,P264),IMPRODUCT(L265,R264))</f>
        <v>-5.16225708502024-6.99151737810689i</v>
      </c>
      <c r="Q265" s="7" t="str">
        <f aca="false">IMSUM(IMPRODUCT(M265,O264),IMPRODUCT(N265,Q264))</f>
        <v>-10.6872327863786i</v>
      </c>
      <c r="R265" s="7" t="str">
        <f aca="false">IMSUM(IMPRODUCT(M265,P264),IMPRODUCT(N265,R264))</f>
        <v>1+1.38934026222922i</v>
      </c>
    </row>
    <row r="266" customFormat="false" ht="15" hidden="false" customHeight="false" outlineLevel="0" collapsed="false">
      <c r="A266" s="9" t="s">
        <v>74</v>
      </c>
      <c r="B266" s="13" t="n">
        <f aca="false">IMABS(IMDIV(IMPRODUCT(O265,COMPLEX(-1,0)),P265))</f>
        <v>6.18931798314196</v>
      </c>
    </row>
    <row r="269" customFormat="false" ht="15" hidden="false" customHeight="false" outlineLevel="0" collapsed="false">
      <c r="A269" s="4" t="s">
        <v>96</v>
      </c>
      <c r="B269" s="9" t="s">
        <v>18</v>
      </c>
      <c r="C269" s="7" t="str">
        <f aca="false">INDEX(Library!$F$5:$F$34,MATCH(A269,Library!$A$5:$A$34,0))</f>
        <v>I</v>
      </c>
    </row>
    <row r="270" customFormat="false" ht="15" hidden="false" customHeight="false" outlineLevel="0" collapsed="false">
      <c r="A270" s="4" t="s">
        <v>97</v>
      </c>
      <c r="T270" s="9" t="s">
        <v>20</v>
      </c>
      <c r="U270" s="7" t="n">
        <f aca="false">MATCH($A$269,Library!$A$5:$A$34,0)</f>
        <v>9</v>
      </c>
      <c r="V270" s="9" t="s">
        <v>21</v>
      </c>
      <c r="W270" s="7" t="str">
        <f aca="false">INDEX(Library!$D$5:$D$34,$U$270)</f>
        <v>ext</v>
      </c>
      <c r="X270" s="9" t="s">
        <v>22</v>
      </c>
      <c r="Y270" s="7" t="n">
        <f aca="false">INDEX(Library!$E$5:$E$34,$U$270)</f>
        <v>0.13</v>
      </c>
    </row>
    <row r="271" customFormat="false" ht="15" hidden="false" customHeight="false" outlineLevel="0" collapsed="false">
      <c r="A271" s="9"/>
      <c r="B271" s="9" t="s">
        <v>23</v>
      </c>
      <c r="C271" s="9" t="s">
        <v>24</v>
      </c>
      <c r="D271" s="9" t="s">
        <v>25</v>
      </c>
      <c r="E271" s="9" t="s">
        <v>26</v>
      </c>
      <c r="F271" s="9" t="s">
        <v>27</v>
      </c>
      <c r="G271" s="9" t="s">
        <v>28</v>
      </c>
      <c r="H271" s="9" t="s">
        <v>29</v>
      </c>
      <c r="I271" s="9" t="s">
        <v>30</v>
      </c>
      <c r="J271" s="9" t="s">
        <v>31</v>
      </c>
      <c r="K271" s="9" t="s">
        <v>32</v>
      </c>
      <c r="L271" s="9" t="s">
        <v>33</v>
      </c>
      <c r="M271" s="9" t="s">
        <v>34</v>
      </c>
      <c r="N271" s="9" t="s">
        <v>35</v>
      </c>
      <c r="O271" s="9" t="s">
        <v>36</v>
      </c>
      <c r="P271" s="9" t="s">
        <v>37</v>
      </c>
      <c r="Q271" s="9" t="s">
        <v>38</v>
      </c>
      <c r="R271" s="9" t="s">
        <v>39</v>
      </c>
      <c r="S271" s="9" t="s">
        <v>40</v>
      </c>
      <c r="T271" s="9" t="s">
        <v>41</v>
      </c>
    </row>
    <row r="272" customFormat="false" ht="15" hidden="false" customHeight="false" outlineLevel="0" collapsed="false">
      <c r="A272" s="7" t="s">
        <v>22</v>
      </c>
      <c r="B272" s="7" t="s">
        <v>42</v>
      </c>
      <c r="H272" s="10" t="n">
        <f aca="false">$Y$270</f>
        <v>0.13</v>
      </c>
      <c r="I272" s="11" t="n">
        <f aca="false">IF(B272="mass",SQRT(E272*($B$2*3600)/(PI()*F272*G272)),0)</f>
        <v>0</v>
      </c>
      <c r="J272" s="10" t="n">
        <f aca="false">IF(B272="mass",D272/I272,0)</f>
        <v>0</v>
      </c>
      <c r="K272" s="7" t="str">
        <f aca="false">IF(B272="mass",COMPLEX(COSH(J272)*COS(J272),SINH(J272)*SIN(J272)),COMPLEX(1,0))</f>
        <v>1</v>
      </c>
      <c r="L272" s="7" t="str">
        <f aca="false">IF(B272="mass",COMPLEX(-I272/(2*E272)*(SINH(J272)*COS(J272)+COSH(J272)*SIN(J272)),-I272/(2*E272)*(COSH(J272)*SIN(J272)-SINH(J272)*COS(J272))),COMPLEX(-H272,0))</f>
        <v>-0.13</v>
      </c>
      <c r="M272" s="7" t="str">
        <f aca="false">IF(B272="mass",COMPLEX(-E272/I272*(SINH(J272)*COS(J272)-COSH(J272)*SIN(J272)),-E272/I272*(SINH(J272)*COS(J272)+COSH(J272)*SIN(J272))),COMPLEX(0,0))</f>
        <v>0</v>
      </c>
      <c r="N272" s="7" t="str">
        <f aca="false">K272</f>
        <v>1</v>
      </c>
      <c r="O272" s="7" t="str">
        <f aca="false">K272</f>
        <v>1</v>
      </c>
      <c r="P272" s="7" t="str">
        <f aca="false">L272</f>
        <v>-0.13</v>
      </c>
      <c r="Q272" s="7" t="str">
        <f aca="false">M272</f>
        <v>0</v>
      </c>
      <c r="R272" s="7" t="str">
        <f aca="false">N272</f>
        <v>1</v>
      </c>
      <c r="S272" s="10" t="n">
        <f aca="false">IF(B272="mass",D272/E272,H272)</f>
        <v>0.13</v>
      </c>
      <c r="T272" s="12" t="n">
        <f aca="false">IF(B272="mass",F272*G272*D272,0)</f>
        <v>0</v>
      </c>
    </row>
    <row r="273" customFormat="false" ht="15" hidden="false" customHeight="false" outlineLevel="0" collapsed="false">
      <c r="A273" s="7" t="s">
        <v>43</v>
      </c>
      <c r="B273" s="7" t="str">
        <f aca="false">IF(C273="","none",IF(C273="Cavity","res","mass"))</f>
        <v>mass</v>
      </c>
      <c r="C273" s="7" t="str">
        <f aca="false">IF(INDEX(Library!$G$5:$G$34,$U$270)="","",INDEX(Library!$G$5:$G$34,$U$270))</f>
        <v>plasterboard</v>
      </c>
      <c r="D273" s="11" t="n">
        <f aca="false">IF(B273="mass",INDEX(Library!$H$5:$H$34,$U$270)/1000,0)</f>
        <v>0.0125</v>
      </c>
      <c r="E273" s="7" t="n">
        <f aca="false">IF(B273="mass",INDEX(Materials!$B$5:$B$28,MATCH(C273,Materials!$A$5:$A$28,0)),0)</f>
        <v>0.21</v>
      </c>
      <c r="F273" s="7" t="n">
        <f aca="false">IF(B273="mass",INDEX(Materials!$C$5:$C$28,MATCH(C273,Materials!$A$5:$A$28,0)),0)</f>
        <v>700</v>
      </c>
      <c r="G273" s="7" t="n">
        <f aca="false">IF(B273="mass",INDEX(Materials!$D$5:$D$28,MATCH(C273,Materials!$A$5:$A$28,0)),0)</f>
        <v>1000</v>
      </c>
      <c r="H273" s="10" t="n">
        <f aca="false">IF(B273="res",INDEX(Library!$H$5:$H$34,$U$270),0)</f>
        <v>0</v>
      </c>
      <c r="I273" s="11" t="n">
        <f aca="false">IF(B273="mass",SQRT(E273*($B$2*3600)/(PI()*F273*G273)),0)</f>
        <v>0.0908327707927258</v>
      </c>
      <c r="J273" s="10" t="n">
        <f aca="false">IF(B273="mass",D273/I273,0)</f>
        <v>0.137615531166875</v>
      </c>
      <c r="K273" s="7" t="str">
        <f aca="false">IF(B273="mass",COMPLEX(COSH(J273)*COS(J273),SINH(J273)*SIN(J273)),COMPLEX(1,0))</f>
        <v>0.999940225193105+0.0189379589504749i</v>
      </c>
      <c r="L273" s="7" t="str">
        <f aca="false">IF(B273="mass",COMPLEX(-I273/(2*E273)*(SINH(J273)*COS(J273)+COSH(J273)*SIN(J273)),-I273/(2*E273)*(COSH(J273)*SIN(J273)-SINH(J273)*COS(J273))),COMPLEX(-H273,0))</f>
        <v>-0.0595230979186955-0.000375754009423939i</v>
      </c>
      <c r="M273" s="7" t="str">
        <f aca="false">IF(B273="mass",COMPLEX(-E273/I273*(SINH(J273)*COS(J273)-COSH(J273)*SIN(J273)),-E273/I273*(SINH(J273)*COS(J273)+COSH(J273)*SIN(J273))),COMPLEX(0,0))</f>
        <v>0.00401686359323574-0.636310349296785i</v>
      </c>
      <c r="N273" s="7" t="str">
        <f aca="false">K273</f>
        <v>0.999940225193105+0.0189379589504749i</v>
      </c>
      <c r="O273" s="7" t="str">
        <f aca="false">IMSUM(IMPRODUCT(K273,O272),IMPRODUCT(L273,Q272))</f>
        <v>0.999940225193105+0.0189379589504749i</v>
      </c>
      <c r="P273" s="7" t="str">
        <f aca="false">IMSUM(IMPRODUCT(K273,P272),IMPRODUCT(L273,R272))</f>
        <v>-0.1895153271938-0.00283768867298567i</v>
      </c>
      <c r="Q273" s="7" t="str">
        <f aca="false">IMSUM(IMPRODUCT(M273,O272),IMPRODUCT(N273,Q272))</f>
        <v>0.00401686359323574-0.636310349296785i</v>
      </c>
      <c r="R273" s="7" t="str">
        <f aca="false">IMSUM(IMPRODUCT(M273,P272),IMPRODUCT(N273,R272))</f>
        <v>0.999418032925984+0.101658304359057i</v>
      </c>
      <c r="S273" s="10" t="n">
        <f aca="false">IF(B273="mass",D273/E273,H273)</f>
        <v>0.0595238095238095</v>
      </c>
      <c r="T273" s="12" t="n">
        <f aca="false">IF(B273="mass",F273*G273*D273,0)</f>
        <v>8750</v>
      </c>
    </row>
    <row r="274" customFormat="false" ht="15" hidden="false" customHeight="false" outlineLevel="0" collapsed="false">
      <c r="A274" s="7" t="s">
        <v>44</v>
      </c>
      <c r="B274" s="7" t="str">
        <f aca="false">IF(C274="","none",IF(C274="Cavity","res","mass"))</f>
        <v>res</v>
      </c>
      <c r="C274" s="7" t="str">
        <f aca="false">IF(INDEX(Library!$I$5:$I$34,$U$270)="","",INDEX(Library!$I$5:$I$34,$U$270))</f>
        <v>Cavity</v>
      </c>
      <c r="D274" s="11" t="n">
        <f aca="false">IF(B274="mass",INDEX(Library!$J$5:$J$34,$U$270)/1000,0)</f>
        <v>0</v>
      </c>
      <c r="E274" s="7" t="n">
        <f aca="false">IF(B274="mass",INDEX(Materials!$B$5:$B$28,MATCH(C274,Materials!$A$5:$A$28,0)),0)</f>
        <v>0</v>
      </c>
      <c r="F274" s="7" t="n">
        <f aca="false">IF(B274="mass",INDEX(Materials!$C$5:$C$28,MATCH(C274,Materials!$A$5:$A$28,0)),0)</f>
        <v>0</v>
      </c>
      <c r="G274" s="7" t="n">
        <f aca="false">IF(B274="mass",INDEX(Materials!$D$5:$D$28,MATCH(C274,Materials!$A$5:$A$28,0)),0)</f>
        <v>0</v>
      </c>
      <c r="H274" s="10" t="n">
        <f aca="false">IF(B274="res",INDEX(Library!$J$5:$J$34,$U$270),0)</f>
        <v>0.17</v>
      </c>
      <c r="I274" s="11" t="n">
        <f aca="false">IF(B274="mass",SQRT(E274*($B$2*3600)/(PI()*F274*G274)),0)</f>
        <v>0</v>
      </c>
      <c r="J274" s="10" t="n">
        <f aca="false">IF(B274="mass",D274/I274,0)</f>
        <v>0</v>
      </c>
      <c r="K274" s="7" t="str">
        <f aca="false">IF(B274="mass",COMPLEX(COSH(J274)*COS(J274),SINH(J274)*SIN(J274)),COMPLEX(1,0))</f>
        <v>1</v>
      </c>
      <c r="L274" s="7" t="str">
        <f aca="false">IF(B274="mass",COMPLEX(-I274/(2*E274)*(SINH(J274)*COS(J274)+COSH(J274)*SIN(J274)),-I274/(2*E274)*(COSH(J274)*SIN(J274)-SINH(J274)*COS(J274))),COMPLEX(-H274,0))</f>
        <v>-0.17</v>
      </c>
      <c r="M274" s="7" t="str">
        <f aca="false">IF(B274="mass",COMPLEX(-E274/I274*(SINH(J274)*COS(J274)-COSH(J274)*SIN(J274)),-E274/I274*(SINH(J274)*COS(J274)+COSH(J274)*SIN(J274))),COMPLEX(0,0))</f>
        <v>0</v>
      </c>
      <c r="N274" s="7" t="str">
        <f aca="false">K274</f>
        <v>1</v>
      </c>
      <c r="O274" s="7" t="str">
        <f aca="false">IMSUM(IMPRODUCT(K274,O273),IMPRODUCT(L274,Q273))</f>
        <v>0.999257358382255+0.127110718330928i</v>
      </c>
      <c r="P274" s="7" t="str">
        <f aca="false">IMSUM(IMPRODUCT(K274,P273),IMPRODUCT(L274,R273))</f>
        <v>-0.359416392791217-0.0201196004140254i</v>
      </c>
      <c r="Q274" s="7" t="str">
        <f aca="false">IMSUM(IMPRODUCT(M274,O273),IMPRODUCT(N274,Q273))</f>
        <v>0.00401686359323574-0.636310349296785i</v>
      </c>
      <c r="R274" s="7" t="str">
        <f aca="false">IMSUM(IMPRODUCT(M274,P273),IMPRODUCT(N274,R273))</f>
        <v>0.999418032925984+0.101658304359057i</v>
      </c>
      <c r="S274" s="10" t="n">
        <f aca="false">IF(B274="mass",D274/E274,H274)</f>
        <v>0.17</v>
      </c>
      <c r="T274" s="12" t="n">
        <f aca="false">IF(B274="mass",F274*G274*D274,0)</f>
        <v>0</v>
      </c>
    </row>
    <row r="275" customFormat="false" ht="15" hidden="false" customHeight="false" outlineLevel="0" collapsed="false">
      <c r="A275" s="7" t="s">
        <v>45</v>
      </c>
      <c r="B275" s="7" t="str">
        <f aca="false">IF(C275="","none",IF(C275="Cavity","res","mass"))</f>
        <v>mass</v>
      </c>
      <c r="C275" s="7" t="str">
        <f aca="false">IF(INDEX(Library!$K$5:$K$34,$U$270)="","",INDEX(Library!$K$5:$K$34,$U$270))</f>
        <v>CLT</v>
      </c>
      <c r="D275" s="11" t="n">
        <f aca="false">IF(B275="mass",INDEX(Library!$L$5:$L$34,$U$270)/1000,0)</f>
        <v>0.1</v>
      </c>
      <c r="E275" s="7" t="n">
        <f aca="false">IF(B275="mass",INDEX(Materials!$B$5:$B$28,MATCH(C275,Materials!$A$5:$A$28,0)),0)</f>
        <v>0.13</v>
      </c>
      <c r="F275" s="7" t="n">
        <f aca="false">IF(B275="mass",INDEX(Materials!$C$5:$C$28,MATCH(C275,Materials!$A$5:$A$28,0)),0)</f>
        <v>470</v>
      </c>
      <c r="G275" s="7" t="n">
        <f aca="false">IF(B275="mass",INDEX(Materials!$D$5:$D$28,MATCH(C275,Materials!$A$5:$A$28,0)),0)</f>
        <v>1600</v>
      </c>
      <c r="H275" s="10" t="n">
        <f aca="false">IF(B275="res",INDEX(Library!$L$5:$L$34,$U$270),0)</f>
        <v>0</v>
      </c>
      <c r="I275" s="11" t="n">
        <f aca="false">IF(B275="mass",SQRT(E275*($B$2*3600)/(PI()*F275*G275)),0)</f>
        <v>0.0689516543706332</v>
      </c>
      <c r="J275" s="10" t="n">
        <f aca="false">IF(B275="mass",D275/I275,0)</f>
        <v>1.45029152545744</v>
      </c>
      <c r="K275" s="7" t="str">
        <f aca="false">IF(B275="mass",COMPLEX(COSH(J275)*COS(J275),SINH(J275)*SIN(J275)),COMPLEX(1,0))</f>
        <v>0.270411510446525+2.00031569571631i</v>
      </c>
      <c r="L275" s="7" t="str">
        <f aca="false">IF(B275="mass",COMPLEX(-I275/(2*E275)*(SINH(J275)*COS(J275)+COSH(J275)*SIN(J275)),-I275/(2*E275)*(COSH(J275)*SIN(J275)-SINH(J275)*COS(J275))),COMPLEX(-H275,0))</f>
        <v>-0.656456418013959-0.527982912808354i</v>
      </c>
      <c r="M275" s="7" t="str">
        <f aca="false">IF(B275="mass",COMPLEX(-E275/I275*(SINH(J275)*COS(J275)-COSH(J275)*SIN(J275)),-E275/I275*(SINH(J275)*COS(J275)+COSH(J275)*SIN(J275))),COMPLEX(0,0))</f>
        <v>3.75359305074406-4.66695074593813i</v>
      </c>
      <c r="N275" s="7" t="str">
        <f aca="false">K275</f>
        <v>0.270411510446525+2.00031569571631i</v>
      </c>
      <c r="O275" s="7" t="str">
        <f aca="false">IMSUM(IMPRODUCT(K275,O274),IMPRODUCT(L275,Q274))</f>
        <v>-0.322648760924064+2.44879155667412i</v>
      </c>
      <c r="P275" s="7" t="str">
        <f aca="false">IMSUM(IMPRODUCT(K275,P274),IMPRODUCT(L275,R274))</f>
        <v>-0.659345311500694-1.31879671381392i</v>
      </c>
      <c r="Q275" s="7" t="str">
        <f aca="false">IMSUM(IMPRODUCT(M275,O274),IMPRODUCT(N275,Q274))</f>
        <v>5.61793272325634-4.35039361245717i</v>
      </c>
      <c r="R275" s="7" t="str">
        <f aca="false">IMSUM(IMPRODUCT(M275,P274),IMPRODUCT(N275,R274))</f>
        <v>-1.37609462042314+3.62849896361646i</v>
      </c>
      <c r="S275" s="10" t="n">
        <f aca="false">IF(B275="mass",D275/E275,H275)</f>
        <v>0.769230769230769</v>
      </c>
      <c r="T275" s="12" t="n">
        <f aca="false">IF(B275="mass",F275*G275*D275,0)</f>
        <v>75200</v>
      </c>
    </row>
    <row r="276" customFormat="false" ht="15" hidden="false" customHeight="false" outlineLevel="0" collapsed="false">
      <c r="A276" s="7" t="s">
        <v>46</v>
      </c>
      <c r="B276" s="7" t="str">
        <f aca="false">IF(C276="","none",IF(C276="Cavity","res","mass"))</f>
        <v>mass</v>
      </c>
      <c r="C276" s="7" t="str">
        <f aca="false">IF(INDEX(Library!$M$5:$M$34,$U$270)="","",INDEX(Library!$M$5:$M$34,$U$270))</f>
        <v>mineral wool</v>
      </c>
      <c r="D276" s="11" t="n">
        <f aca="false">IF(B276="mass",INDEX(Library!$N$5:$N$34,$U$270)/1000,0)</f>
        <v>0.16</v>
      </c>
      <c r="E276" s="7" t="n">
        <f aca="false">IF(B276="mass",INDEX(Materials!$B$5:$B$28,MATCH(C276,Materials!$A$5:$A$28,0)),0)</f>
        <v>0.035</v>
      </c>
      <c r="F276" s="7" t="n">
        <f aca="false">IF(B276="mass",INDEX(Materials!$C$5:$C$28,MATCH(C276,Materials!$A$5:$A$28,0)),0)</f>
        <v>30</v>
      </c>
      <c r="G276" s="7" t="n">
        <f aca="false">IF(B276="mass",INDEX(Materials!$D$5:$D$28,MATCH(C276,Materials!$A$5:$A$28,0)),0)</f>
        <v>1030</v>
      </c>
      <c r="H276" s="10" t="n">
        <f aca="false">IF(B276="res",INDEX(Library!$N$5:$N$34,$U$270),0)</f>
        <v>0</v>
      </c>
      <c r="I276" s="11" t="n">
        <f aca="false">IF(B276="mass",SQRT(E276*($B$2*3600)/(PI()*F276*G276)),0)</f>
        <v>0.176496751881128</v>
      </c>
      <c r="J276" s="10" t="n">
        <f aca="false">IF(B276="mass",D276/I276,0)</f>
        <v>0.906532263595204</v>
      </c>
      <c r="K276" s="7" t="str">
        <f aca="false">IF(B276="mass",COMPLEX(COSH(J276)*COS(J276),SINH(J276)*SIN(J276)),COMPLEX(1,0))</f>
        <v>0.887621542700208+0.815637289427831i</v>
      </c>
      <c r="L276" s="7" t="str">
        <f aca="false">IF(B276="mass",COMPLEX(-I276/(2*E276)*(SINH(J276)*COS(J276)+COSH(J276)*SIN(J276)),-I276/(2*E276)*(COSH(J276)*SIN(J276)-SINH(J276)*COS(J276))),COMPLEX(-H276,0))</f>
        <v>-4.46860902947471-1.24824190319024i</v>
      </c>
      <c r="M276" s="7" t="str">
        <f aca="false">IF(B276="mass",COMPLEX(-E276/I276*(SINH(J276)*COS(J276)-COSH(J276)*SIN(J276)),-E276/I276*(SINH(J276)*COS(J276)+COSH(J276)*SIN(J276))),COMPLEX(0,0))</f>
        <v>0.098172851893335-0.351451182097499i</v>
      </c>
      <c r="N276" s="7" t="str">
        <f aca="false">K276</f>
        <v>0.887621542700208+0.815637289427831i</v>
      </c>
      <c r="O276" s="7" t="str">
        <f aca="false">IMSUM(IMPRODUCT(K276,O275),IMPRODUCT(L276,Q275))</f>
        <v>-32.8184041951461+14.338104922412i</v>
      </c>
      <c r="P276" s="7" t="str">
        <f aca="false">IMSUM(IMPRODUCT(K276,P275),IMPRODUCT(L276,R275))</f>
        <v>11.1688839726979-16.2050232605821i</v>
      </c>
      <c r="Q276" s="7" t="str">
        <f aca="false">IMSUM(IMPRODUCT(M276,O275),IMPRODUCT(N276,Q275))</f>
        <v>9.36389670289522+1.07449246818242i</v>
      </c>
      <c r="R276" s="7" t="str">
        <f aca="false">IMSUM(IMPRODUCT(M276,P275),IMPRODUCT(N276,R275))</f>
        <v>-4.70921276288599+2.20059741624789i</v>
      </c>
      <c r="S276" s="10" t="n">
        <f aca="false">IF(B276="mass",D276/E276,H276)</f>
        <v>4.57142857142857</v>
      </c>
      <c r="T276" s="12" t="n">
        <f aca="false">IF(B276="mass",F276*G276*D276,0)</f>
        <v>4944</v>
      </c>
    </row>
    <row r="277" customFormat="false" ht="15" hidden="false" customHeight="false" outlineLevel="0" collapsed="false">
      <c r="A277" s="7" t="s">
        <v>47</v>
      </c>
      <c r="B277" s="7" t="str">
        <f aca="false">IF(C277="","none",IF(C277="Cavity","res","mass"))</f>
        <v>none</v>
      </c>
      <c r="C277" s="7" t="str">
        <f aca="false">IF(INDEX(Library!$O$5:$O$34,$U$270)="","",INDEX(Library!$O$5:$O$34,$U$270))</f>
        <v/>
      </c>
      <c r="D277" s="11" t="n">
        <f aca="false">IF(B277="mass",INDEX(Library!$P$5:$P$34,$U$270)/1000,0)</f>
        <v>0</v>
      </c>
      <c r="E277" s="7" t="n">
        <f aca="false">IF(B277="mass",INDEX(Materials!$B$5:$B$28,MATCH(C277,Materials!$A$5:$A$28,0)),0)</f>
        <v>0</v>
      </c>
      <c r="F277" s="7" t="n">
        <f aca="false">IF(B277="mass",INDEX(Materials!$C$5:$C$28,MATCH(C277,Materials!$A$5:$A$28,0)),0)</f>
        <v>0</v>
      </c>
      <c r="G277" s="7" t="n">
        <f aca="false">IF(B277="mass",INDEX(Materials!$D$5:$D$28,MATCH(C277,Materials!$A$5:$A$28,0)),0)</f>
        <v>0</v>
      </c>
      <c r="H277" s="10" t="n">
        <f aca="false">IF(B277="res",INDEX(Library!$P$5:$P$34,$U$270),0)</f>
        <v>0</v>
      </c>
      <c r="I277" s="11" t="n">
        <f aca="false">IF(B277="mass",SQRT(E277*($B$2*3600)/(PI()*F277*G277)),0)</f>
        <v>0</v>
      </c>
      <c r="J277" s="10" t="n">
        <f aca="false">IF(B277="mass",D277/I277,0)</f>
        <v>0</v>
      </c>
      <c r="K277" s="7" t="str">
        <f aca="false">IF(B277="mass",COMPLEX(COSH(J277)*COS(J277),SINH(J277)*SIN(J277)),COMPLEX(1,0))</f>
        <v>1</v>
      </c>
      <c r="L277" s="7" t="str">
        <f aca="false">IF(B277="mass",COMPLEX(-I277/(2*E277)*(SINH(J277)*COS(J277)+COSH(J277)*SIN(J277)),-I277/(2*E277)*(COSH(J277)*SIN(J277)-SINH(J277)*COS(J277))),COMPLEX(-H277,0))</f>
        <v>-0</v>
      </c>
      <c r="M277" s="7" t="str">
        <f aca="false">IF(B277="mass",COMPLEX(-E277/I277*(SINH(J277)*COS(J277)-COSH(J277)*SIN(J277)),-E277/I277*(SINH(J277)*COS(J277)+COSH(J277)*SIN(J277))),COMPLEX(0,0))</f>
        <v>0</v>
      </c>
      <c r="N277" s="7" t="str">
        <f aca="false">K277</f>
        <v>1</v>
      </c>
      <c r="O277" s="7" t="str">
        <f aca="false">IMSUM(IMPRODUCT(K277,O276),IMPRODUCT(L277,Q276))</f>
        <v>-32.8184041951461+14.338104922412i</v>
      </c>
      <c r="P277" s="7" t="str">
        <f aca="false">IMSUM(IMPRODUCT(K277,P276),IMPRODUCT(L277,R276))</f>
        <v>11.1688839726979-16.2050232605821i</v>
      </c>
      <c r="Q277" s="7" t="str">
        <f aca="false">IMSUM(IMPRODUCT(M277,O276),IMPRODUCT(N277,Q276))</f>
        <v>9.36389670289522+1.07449246818242i</v>
      </c>
      <c r="R277" s="7" t="str">
        <f aca="false">IMSUM(IMPRODUCT(M277,P276),IMPRODUCT(N277,R276))</f>
        <v>-4.70921276288599+2.20059741624789i</v>
      </c>
      <c r="S277" s="10" t="n">
        <f aca="false">IF(B277="mass",D277/E277,H277)</f>
        <v>0</v>
      </c>
      <c r="T277" s="12" t="n">
        <f aca="false">IF(B277="mass",F277*G277*D277,0)</f>
        <v>0</v>
      </c>
    </row>
    <row r="278" customFormat="false" ht="15" hidden="false" customHeight="false" outlineLevel="0" collapsed="false">
      <c r="A278" s="7" t="s">
        <v>48</v>
      </c>
      <c r="B278" s="7" t="str">
        <f aca="false">IF(C278="","none",IF(C278="Cavity","res","mass"))</f>
        <v>none</v>
      </c>
      <c r="C278" s="7" t="str">
        <f aca="false">IF(INDEX(Library!$Q$5:$Q$34,$U$270)="","",INDEX(Library!$Q$5:$Q$34,$U$270))</f>
        <v/>
      </c>
      <c r="D278" s="11" t="n">
        <f aca="false">IF(B278="mass",INDEX(Library!$R$5:$R$34,$U$270)/1000,0)</f>
        <v>0</v>
      </c>
      <c r="E278" s="7" t="n">
        <f aca="false">IF(B278="mass",INDEX(Materials!$B$5:$B$28,MATCH(C278,Materials!$A$5:$A$28,0)),0)</f>
        <v>0</v>
      </c>
      <c r="F278" s="7" t="n">
        <f aca="false">IF(B278="mass",INDEX(Materials!$C$5:$C$28,MATCH(C278,Materials!$A$5:$A$28,0)),0)</f>
        <v>0</v>
      </c>
      <c r="G278" s="7" t="n">
        <f aca="false">IF(B278="mass",INDEX(Materials!$D$5:$D$28,MATCH(C278,Materials!$A$5:$A$28,0)),0)</f>
        <v>0</v>
      </c>
      <c r="H278" s="10" t="n">
        <f aca="false">IF(B278="res",INDEX(Library!$R$5:$R$34,$U$270),0)</f>
        <v>0</v>
      </c>
      <c r="I278" s="11" t="n">
        <f aca="false">IF(B278="mass",SQRT(E278*($B$2*3600)/(PI()*F278*G278)),0)</f>
        <v>0</v>
      </c>
      <c r="J278" s="10" t="n">
        <f aca="false">IF(B278="mass",D278/I278,0)</f>
        <v>0</v>
      </c>
      <c r="K278" s="7" t="str">
        <f aca="false">IF(B278="mass",COMPLEX(COSH(J278)*COS(J278),SINH(J278)*SIN(J278)),COMPLEX(1,0))</f>
        <v>1</v>
      </c>
      <c r="L278" s="7" t="str">
        <f aca="false">IF(B278="mass",COMPLEX(-I278/(2*E278)*(SINH(J278)*COS(J278)+COSH(J278)*SIN(J278)),-I278/(2*E278)*(COSH(J278)*SIN(J278)-SINH(J278)*COS(J278))),COMPLEX(-H278,0))</f>
        <v>-0</v>
      </c>
      <c r="M278" s="7" t="str">
        <f aca="false">IF(B278="mass",COMPLEX(-E278/I278*(SINH(J278)*COS(J278)-COSH(J278)*SIN(J278)),-E278/I278*(SINH(J278)*COS(J278)+COSH(J278)*SIN(J278))),COMPLEX(0,0))</f>
        <v>0</v>
      </c>
      <c r="N278" s="7" t="str">
        <f aca="false">K278</f>
        <v>1</v>
      </c>
      <c r="O278" s="7" t="str">
        <f aca="false">IMSUM(IMPRODUCT(K278,O277),IMPRODUCT(L278,Q277))</f>
        <v>-32.8184041951461+14.338104922412i</v>
      </c>
      <c r="P278" s="7" t="str">
        <f aca="false">IMSUM(IMPRODUCT(K278,P277),IMPRODUCT(L278,R277))</f>
        <v>11.1688839726979-16.2050232605821i</v>
      </c>
      <c r="Q278" s="7" t="str">
        <f aca="false">IMSUM(IMPRODUCT(M278,O277),IMPRODUCT(N278,Q277))</f>
        <v>9.36389670289522+1.07449246818242i</v>
      </c>
      <c r="R278" s="7" t="str">
        <f aca="false">IMSUM(IMPRODUCT(M278,P277),IMPRODUCT(N278,R277))</f>
        <v>-4.70921276288599+2.20059741624789i</v>
      </c>
      <c r="S278" s="10" t="n">
        <f aca="false">IF(B278="mass",D278/E278,H278)</f>
        <v>0</v>
      </c>
      <c r="T278" s="12" t="n">
        <f aca="false">IF(B278="mass",F278*G278*D278,0)</f>
        <v>0</v>
      </c>
    </row>
    <row r="279" customFormat="false" ht="15" hidden="false" customHeight="false" outlineLevel="0" collapsed="false">
      <c r="A279" s="7" t="s">
        <v>49</v>
      </c>
      <c r="B279" s="7" t="str">
        <f aca="false">IF(C279="","none",IF(C279="Cavity","res","mass"))</f>
        <v>none</v>
      </c>
      <c r="C279" s="7" t="str">
        <f aca="false">IF(INDEX(Library!$S$5:$S$34,$U$270)="","",INDEX(Library!$S$5:$S$34,$U$270))</f>
        <v/>
      </c>
      <c r="D279" s="11" t="n">
        <f aca="false">IF(B279="mass",INDEX(Library!$T$5:$T$34,$U$270)/1000,0)</f>
        <v>0</v>
      </c>
      <c r="E279" s="7" t="n">
        <f aca="false">IF(B279="mass",INDEX(Materials!$B$5:$B$28,MATCH(C279,Materials!$A$5:$A$28,0)),0)</f>
        <v>0</v>
      </c>
      <c r="F279" s="7" t="n">
        <f aca="false">IF(B279="mass",INDEX(Materials!$C$5:$C$28,MATCH(C279,Materials!$A$5:$A$28,0)),0)</f>
        <v>0</v>
      </c>
      <c r="G279" s="7" t="n">
        <f aca="false">IF(B279="mass",INDEX(Materials!$D$5:$D$28,MATCH(C279,Materials!$A$5:$A$28,0)),0)</f>
        <v>0</v>
      </c>
      <c r="H279" s="10" t="n">
        <f aca="false">IF(B279="res",INDEX(Library!$T$5:$T$34,$U$270),0)</f>
        <v>0</v>
      </c>
      <c r="I279" s="11" t="n">
        <f aca="false">IF(B279="mass",SQRT(E279*($B$2*3600)/(PI()*F279*G279)),0)</f>
        <v>0</v>
      </c>
      <c r="J279" s="10" t="n">
        <f aca="false">IF(B279="mass",D279/I279,0)</f>
        <v>0</v>
      </c>
      <c r="K279" s="7" t="str">
        <f aca="false">IF(B279="mass",COMPLEX(COSH(J279)*COS(J279),SINH(J279)*SIN(J279)),COMPLEX(1,0))</f>
        <v>1</v>
      </c>
      <c r="L279" s="7" t="str">
        <f aca="false">IF(B279="mass",COMPLEX(-I279/(2*E279)*(SINH(J279)*COS(J279)+COSH(J279)*SIN(J279)),-I279/(2*E279)*(COSH(J279)*SIN(J279)-SINH(J279)*COS(J279))),COMPLEX(-H279,0))</f>
        <v>-0</v>
      </c>
      <c r="M279" s="7" t="str">
        <f aca="false">IF(B279="mass",COMPLEX(-E279/I279*(SINH(J279)*COS(J279)-COSH(J279)*SIN(J279)),-E279/I279*(SINH(J279)*COS(J279)+COSH(J279)*SIN(J279))),COMPLEX(0,0))</f>
        <v>0</v>
      </c>
      <c r="N279" s="7" t="str">
        <f aca="false">K279</f>
        <v>1</v>
      </c>
      <c r="O279" s="7" t="str">
        <f aca="false">IMSUM(IMPRODUCT(K279,O278),IMPRODUCT(L279,Q278))</f>
        <v>-32.8184041951461+14.338104922412i</v>
      </c>
      <c r="P279" s="7" t="str">
        <f aca="false">IMSUM(IMPRODUCT(K279,P278),IMPRODUCT(L279,R278))</f>
        <v>11.1688839726979-16.2050232605821i</v>
      </c>
      <c r="Q279" s="7" t="str">
        <f aca="false">IMSUM(IMPRODUCT(M279,O278),IMPRODUCT(N279,Q278))</f>
        <v>9.36389670289522+1.07449246818242i</v>
      </c>
      <c r="R279" s="7" t="str">
        <f aca="false">IMSUM(IMPRODUCT(M279,P278),IMPRODUCT(N279,R278))</f>
        <v>-4.70921276288599+2.20059741624789i</v>
      </c>
      <c r="S279" s="10" t="n">
        <f aca="false">IF(B279="mass",D279/E279,H279)</f>
        <v>0</v>
      </c>
      <c r="T279" s="12" t="n">
        <f aca="false">IF(B279="mass",F279*G279*D279,0)</f>
        <v>0</v>
      </c>
    </row>
    <row r="280" customFormat="false" ht="15" hidden="false" customHeight="false" outlineLevel="0" collapsed="false">
      <c r="A280" s="7" t="s">
        <v>50</v>
      </c>
      <c r="B280" s="7" t="str">
        <f aca="false">IF(C280="","none",IF(C280="Cavity","res","mass"))</f>
        <v>none</v>
      </c>
      <c r="C280" s="7" t="str">
        <f aca="false">IF(INDEX(Library!$U$5:$U$34,$U$270)="","",INDEX(Library!$U$5:$U$34,$U$270))</f>
        <v/>
      </c>
      <c r="D280" s="11" t="n">
        <f aca="false">IF(B280="mass",INDEX(Library!$V$5:$V$34,$U$270)/1000,0)</f>
        <v>0</v>
      </c>
      <c r="E280" s="7" t="n">
        <f aca="false">IF(B280="mass",INDEX(Materials!$B$5:$B$28,MATCH(C280,Materials!$A$5:$A$28,0)),0)</f>
        <v>0</v>
      </c>
      <c r="F280" s="7" t="n">
        <f aca="false">IF(B280="mass",INDEX(Materials!$C$5:$C$28,MATCH(C280,Materials!$A$5:$A$28,0)),0)</f>
        <v>0</v>
      </c>
      <c r="G280" s="7" t="n">
        <f aca="false">IF(B280="mass",INDEX(Materials!$D$5:$D$28,MATCH(C280,Materials!$A$5:$A$28,0)),0)</f>
        <v>0</v>
      </c>
      <c r="H280" s="10" t="n">
        <f aca="false">IF(B280="res",INDEX(Library!$V$5:$V$34,$U$270),0)</f>
        <v>0</v>
      </c>
      <c r="I280" s="11" t="n">
        <f aca="false">IF(B280="mass",SQRT(E280*($B$2*3600)/(PI()*F280*G280)),0)</f>
        <v>0</v>
      </c>
      <c r="J280" s="10" t="n">
        <f aca="false">IF(B280="mass",D280/I280,0)</f>
        <v>0</v>
      </c>
      <c r="K280" s="7" t="str">
        <f aca="false">IF(B280="mass",COMPLEX(COSH(J280)*COS(J280),SINH(J280)*SIN(J280)),COMPLEX(1,0))</f>
        <v>1</v>
      </c>
      <c r="L280" s="7" t="str">
        <f aca="false">IF(B280="mass",COMPLEX(-I280/(2*E280)*(SINH(J280)*COS(J280)+COSH(J280)*SIN(J280)),-I280/(2*E280)*(COSH(J280)*SIN(J280)-SINH(J280)*COS(J280))),COMPLEX(-H280,0))</f>
        <v>-0</v>
      </c>
      <c r="M280" s="7" t="str">
        <f aca="false">IF(B280="mass",COMPLEX(-E280/I280*(SINH(J280)*COS(J280)-COSH(J280)*SIN(J280)),-E280/I280*(SINH(J280)*COS(J280)+COSH(J280)*SIN(J280))),COMPLEX(0,0))</f>
        <v>0</v>
      </c>
      <c r="N280" s="7" t="str">
        <f aca="false">K280</f>
        <v>1</v>
      </c>
      <c r="O280" s="7" t="str">
        <f aca="false">IMSUM(IMPRODUCT(K280,O279),IMPRODUCT(L280,Q279))</f>
        <v>-32.8184041951461+14.338104922412i</v>
      </c>
      <c r="P280" s="7" t="str">
        <f aca="false">IMSUM(IMPRODUCT(K280,P279),IMPRODUCT(L280,R279))</f>
        <v>11.1688839726979-16.2050232605821i</v>
      </c>
      <c r="Q280" s="7" t="str">
        <f aca="false">IMSUM(IMPRODUCT(M280,O279),IMPRODUCT(N280,Q279))</f>
        <v>9.36389670289522+1.07449246818242i</v>
      </c>
      <c r="R280" s="7" t="str">
        <f aca="false">IMSUM(IMPRODUCT(M280,P279),IMPRODUCT(N280,R279))</f>
        <v>-4.70921276288599+2.20059741624789i</v>
      </c>
      <c r="S280" s="10" t="n">
        <f aca="false">IF(B280="mass",D280/E280,H280)</f>
        <v>0</v>
      </c>
      <c r="T280" s="12" t="n">
        <f aca="false">IF(B280="mass",F280*G280*D280,0)</f>
        <v>0</v>
      </c>
    </row>
    <row r="281" customFormat="false" ht="15" hidden="false" customHeight="false" outlineLevel="0" collapsed="false">
      <c r="A281" s="7" t="s">
        <v>51</v>
      </c>
      <c r="B281" s="7" t="str">
        <f aca="false">IF($W$270="ground","mass",IF($W$270="adiabatic","res","none"))</f>
        <v>none</v>
      </c>
      <c r="C281" s="7" t="str">
        <f aca="false">IF($W$270="ground","clay soil","")</f>
        <v/>
      </c>
      <c r="D281" s="11" t="n">
        <f aca="false">IF(B281="mass",1,0)</f>
        <v>0</v>
      </c>
      <c r="E281" s="7" t="n">
        <f aca="false">IF(B281="mass",INDEX(Materials!$B$5:$B$28,MATCH(C281,Materials!$A$5:$A$28,0)),0)</f>
        <v>0</v>
      </c>
      <c r="F281" s="7" t="n">
        <f aca="false">IF(B281="mass",INDEX(Materials!$C$5:$C$28,MATCH(C281,Materials!$A$5:$A$28,0)),0)</f>
        <v>0</v>
      </c>
      <c r="G281" s="7" t="n">
        <f aca="false">IF(B281="mass",INDEX(Materials!$D$5:$D$28,MATCH(C281,Materials!$A$5:$A$28,0)),0)</f>
        <v>0</v>
      </c>
      <c r="H281" s="12" t="n">
        <f aca="false">IF(B281="res",1000000,0)</f>
        <v>0</v>
      </c>
      <c r="I281" s="11" t="n">
        <f aca="false">IF(B281="mass",SQRT(E281*($B$2*3600)/(PI()*F281*G281)),0)</f>
        <v>0</v>
      </c>
      <c r="J281" s="10" t="n">
        <f aca="false">IF(B281="mass",D281/I281,0)</f>
        <v>0</v>
      </c>
      <c r="K281" s="7" t="str">
        <f aca="false">IF(B281="mass",COMPLEX(COSH(J281)*COS(J281),SINH(J281)*SIN(J281)),COMPLEX(1,0))</f>
        <v>1</v>
      </c>
      <c r="L281" s="7" t="str">
        <f aca="false">IF(B281="mass",COMPLEX(-I281/(2*E281)*(SINH(J281)*COS(J281)+COSH(J281)*SIN(J281)),-I281/(2*E281)*(COSH(J281)*SIN(J281)-SINH(J281)*COS(J281))),COMPLEX(-H281,0))</f>
        <v>-0</v>
      </c>
      <c r="M281" s="7" t="str">
        <f aca="false">IF(B281="mass",COMPLEX(-E281/I281*(SINH(J281)*COS(J281)-COSH(J281)*SIN(J281)),-E281/I281*(SINH(J281)*COS(J281)+COSH(J281)*SIN(J281))),COMPLEX(0,0))</f>
        <v>0</v>
      </c>
      <c r="N281" s="7" t="str">
        <f aca="false">K281</f>
        <v>1</v>
      </c>
      <c r="O281" s="7" t="str">
        <f aca="false">IMSUM(IMPRODUCT(K281,O280),IMPRODUCT(L281,Q280))</f>
        <v>-32.8184041951461+14.338104922412i</v>
      </c>
      <c r="P281" s="7" t="str">
        <f aca="false">IMSUM(IMPRODUCT(K281,P280),IMPRODUCT(L281,R280))</f>
        <v>11.1688839726979-16.2050232605821i</v>
      </c>
      <c r="Q281" s="7" t="str">
        <f aca="false">IMSUM(IMPRODUCT(M281,O280),IMPRODUCT(N281,Q280))</f>
        <v>9.36389670289522+1.07449246818242i</v>
      </c>
      <c r="R281" s="7" t="str">
        <f aca="false">IMSUM(IMPRODUCT(M281,P280),IMPRODUCT(N281,R280))</f>
        <v>-4.70921276288599+2.20059741624789i</v>
      </c>
      <c r="S281" s="10" t="n">
        <f aca="false">IF(B281="mass",D281/E281,H281)</f>
        <v>0</v>
      </c>
      <c r="T281" s="12" t="n">
        <f aca="false">IF(B281="mass",F281*G281*D281,0)</f>
        <v>0</v>
      </c>
    </row>
    <row r="282" customFormat="false" ht="15" hidden="false" customHeight="false" outlineLevel="0" collapsed="false">
      <c r="A282" s="7" t="s">
        <v>52</v>
      </c>
      <c r="B282" s="7" t="s">
        <v>42</v>
      </c>
      <c r="H282" s="10" t="n">
        <f aca="false">IF($W$270="ext",0.04,IF($W$270="room",$Y$270,0))</f>
        <v>0.04</v>
      </c>
      <c r="I282" s="11" t="n">
        <f aca="false">IF(B282="mass",SQRT(E282*($B$2*3600)/(PI()*F282*G282)),0)</f>
        <v>0</v>
      </c>
      <c r="J282" s="10" t="n">
        <f aca="false">IF(B282="mass",D282/I282,0)</f>
        <v>0</v>
      </c>
      <c r="K282" s="7" t="str">
        <f aca="false">IF(B282="mass",COMPLEX(COSH(J282)*COS(J282),SINH(J282)*SIN(J282)),COMPLEX(1,0))</f>
        <v>1</v>
      </c>
      <c r="L282" s="7" t="str">
        <f aca="false">IF(B282="mass",COMPLEX(-I282/(2*E282)*(SINH(J282)*COS(J282)+COSH(J282)*SIN(J282)),-I282/(2*E282)*(COSH(J282)*SIN(J282)-SINH(J282)*COS(J282))),COMPLEX(-H282,0))</f>
        <v>-0.04</v>
      </c>
      <c r="M282" s="7" t="str">
        <f aca="false">IF(B282="mass",COMPLEX(-E282/I282*(SINH(J282)*COS(J282)-COSH(J282)*SIN(J282)),-E282/I282*(SINH(J282)*COS(J282)+COSH(J282)*SIN(J282))),COMPLEX(0,0))</f>
        <v>0</v>
      </c>
      <c r="N282" s="7" t="str">
        <f aca="false">K282</f>
        <v>1</v>
      </c>
      <c r="O282" s="7" t="str">
        <f aca="false">IMSUM(IMPRODUCT(K282,O281),IMPRODUCT(L282,Q281))</f>
        <v>-33.1929600632619+14.2951252236847i</v>
      </c>
      <c r="P282" s="7" t="str">
        <f aca="false">IMSUM(IMPRODUCT(K282,P281),IMPRODUCT(L282,R281))</f>
        <v>11.3572524832133-16.293047157232i</v>
      </c>
      <c r="Q282" s="7" t="str">
        <f aca="false">IMSUM(IMPRODUCT(M282,O281),IMPRODUCT(N282,Q281))</f>
        <v>9.36389670289522+1.07449246818242i</v>
      </c>
      <c r="R282" s="7" t="str">
        <f aca="false">IMSUM(IMPRODUCT(M282,P281),IMPRODUCT(N282,R281))</f>
        <v>-4.70921276288599+2.20059741624789i</v>
      </c>
      <c r="S282" s="10" t="n">
        <f aca="false">IF(B282="mass",D282/E282,H282)</f>
        <v>0.04</v>
      </c>
      <c r="T282" s="12" t="n">
        <f aca="false">IF(B282="mass",F282*G282*D282,0)</f>
        <v>0</v>
      </c>
    </row>
    <row r="283" customFormat="false" ht="15" hidden="false" customHeight="false" outlineLevel="0" collapsed="false">
      <c r="A283" s="9" t="s">
        <v>53</v>
      </c>
      <c r="B283" s="13" t="n">
        <f aca="false">IF(OR($W$270="ext",$W$270="ground"),1/SUM(S272:S282),"–")</f>
        <v>0.174210469219626</v>
      </c>
      <c r="C283" s="9" t="s">
        <v>54</v>
      </c>
      <c r="D283" s="13" t="n">
        <f aca="false">IMABS(IMDIV(IMPRODUCT(O282,COMPLEX(-1,0)),P282))</f>
        <v>1.81968317069952</v>
      </c>
      <c r="E283" s="9" t="s">
        <v>55</v>
      </c>
      <c r="F283" s="14" t="n">
        <f aca="false">IMARGUMENT(IMDIV(IMPRODUCT(O282,COMPLEX(-1,0)),P282))*$B$2/(2*PI())</f>
        <v>2.12141142862456</v>
      </c>
      <c r="G283" s="9" t="s">
        <v>56</v>
      </c>
      <c r="H283" s="13" t="n">
        <f aca="false">IF($W$270="ext",IMABS(IMDIV(COMPLEX(-1,0),P282))*SUM(S272:S282),"–")</f>
        <v>0.289021037525599</v>
      </c>
      <c r="I283" s="9" t="s">
        <v>57</v>
      </c>
      <c r="J283" s="14" t="n">
        <f aca="false">IF($W$270="ext",MOD(-IMARGUMENT(IMDIV(COMPLEX(-1,0),P282))*$B$2/(2*PI()),24),"–")</f>
        <v>8.3252573558039</v>
      </c>
      <c r="K283" s="9" t="s">
        <v>58</v>
      </c>
      <c r="L283" s="15" t="n">
        <f aca="false">($B$2*3600)/(2*PI())*IMABS(IMDIV(IMSUB(O282,COMPLEX(1,0)),P282))/1000</f>
        <v>25.659805170322</v>
      </c>
      <c r="M283" s="9" t="s">
        <v>59</v>
      </c>
      <c r="N283" s="15" t="n">
        <f aca="false">SUM(T273:T280)/1000</f>
        <v>88.894</v>
      </c>
      <c r="O283" s="9" t="s">
        <v>60</v>
      </c>
      <c r="P283" s="16" t="n">
        <f aca="false">SUM(S273:S280)</f>
        <v>5.57018315018315</v>
      </c>
    </row>
    <row r="285" customFormat="false" ht="15" hidden="false" customHeight="false" outlineLevel="0" collapsed="false">
      <c r="A285" s="4" t="s">
        <v>98</v>
      </c>
    </row>
    <row r="286" customFormat="false" ht="15" hidden="false" customHeight="false" outlineLevel="0" collapsed="false">
      <c r="A286" s="9"/>
      <c r="B286" s="9" t="s">
        <v>62</v>
      </c>
      <c r="C286" s="9" t="s">
        <v>63</v>
      </c>
      <c r="D286" s="9"/>
      <c r="E286" s="9"/>
      <c r="F286" s="9"/>
      <c r="G286" s="9"/>
      <c r="H286" s="9"/>
      <c r="I286" s="9"/>
      <c r="J286" s="9"/>
      <c r="K286" s="9" t="s">
        <v>32</v>
      </c>
      <c r="L286" s="9" t="s">
        <v>33</v>
      </c>
      <c r="M286" s="9" t="s">
        <v>34</v>
      </c>
      <c r="N286" s="9" t="s">
        <v>35</v>
      </c>
      <c r="O286" s="9" t="s">
        <v>36</v>
      </c>
      <c r="P286" s="9" t="s">
        <v>37</v>
      </c>
      <c r="Q286" s="9" t="s">
        <v>38</v>
      </c>
      <c r="R286" s="9" t="s">
        <v>39</v>
      </c>
    </row>
    <row r="287" customFormat="false" ht="15" hidden="false" customHeight="false" outlineLevel="0" collapsed="false">
      <c r="A287" s="7" t="s">
        <v>22</v>
      </c>
      <c r="B287" s="7" t="s">
        <v>42</v>
      </c>
      <c r="C287" s="10" t="n">
        <f aca="false">$Y$270</f>
        <v>0.13</v>
      </c>
      <c r="K287" s="7" t="str">
        <f aca="false">COMPLEX(1,0)</f>
        <v>1</v>
      </c>
      <c r="L287" s="7" t="str">
        <f aca="false">COMPLEX(-C287,0)</f>
        <v>-0.13</v>
      </c>
      <c r="M287" s="7" t="str">
        <f aca="false">COMPLEX(0,0)</f>
        <v>0</v>
      </c>
      <c r="N287" s="7" t="str">
        <f aca="false">COMPLEX(1,0)</f>
        <v>1</v>
      </c>
      <c r="O287" s="7" t="str">
        <f aca="false">K287</f>
        <v>1</v>
      </c>
      <c r="P287" s="7" t="str">
        <f aca="false">L287</f>
        <v>-0.13</v>
      </c>
      <c r="Q287" s="7" t="str">
        <f aca="false">M287</f>
        <v>0</v>
      </c>
      <c r="R287" s="7" t="str">
        <f aca="false">N287</f>
        <v>1</v>
      </c>
    </row>
    <row r="288" customFormat="false" ht="15" hidden="false" customHeight="false" outlineLevel="0" collapsed="false">
      <c r="A288" s="7" t="s">
        <v>64</v>
      </c>
      <c r="B288" s="7" t="s">
        <v>65</v>
      </c>
      <c r="C288" s="10" t="n">
        <f aca="false">INDEX(Classes!$B$5:$F$9,MATCH(Engine!$C$269,Classes!$A$5:$A$9,0),5)*(N283*1000)</f>
        <v>88894</v>
      </c>
      <c r="K288" s="7" t="str">
        <f aca="false">COMPLEX(1,0)</f>
        <v>1</v>
      </c>
      <c r="L288" s="7" t="str">
        <f aca="false">COMPLEX(0,0)</f>
        <v>0</v>
      </c>
      <c r="M288" s="7" t="str">
        <f aca="false">COMPLEX(0,-(2*PI()/($B$2*3600))*C288)</f>
        <v>-6.46455410528266i</v>
      </c>
      <c r="N288" s="7" t="str">
        <f aca="false">COMPLEX(1,0)</f>
        <v>1</v>
      </c>
      <c r="O288" s="7" t="str">
        <f aca="false">IMSUM(IMPRODUCT(K288,O287),IMPRODUCT(L288,Q287))</f>
        <v>1</v>
      </c>
      <c r="P288" s="7" t="str">
        <f aca="false">IMSUM(IMPRODUCT(K288,P287),IMPRODUCT(L288,R287))</f>
        <v>-0.13</v>
      </c>
      <c r="Q288" s="7" t="str">
        <f aca="false">IMSUM(IMPRODUCT(M288,O287),IMPRODUCT(N288,Q287))</f>
        <v>-6.46455410528266i</v>
      </c>
      <c r="R288" s="7" t="str">
        <f aca="false">IMSUM(IMPRODUCT(M288,P287),IMPRODUCT(N288,R287))</f>
        <v>1+0.840392033686746i</v>
      </c>
    </row>
    <row r="289" customFormat="false" ht="15" hidden="false" customHeight="false" outlineLevel="0" collapsed="false">
      <c r="A289" s="7" t="s">
        <v>66</v>
      </c>
      <c r="B289" s="7" t="s">
        <v>42</v>
      </c>
      <c r="C289" s="10" t="n">
        <f aca="false">P283/6</f>
        <v>0.928363858363858</v>
      </c>
      <c r="K289" s="7" t="str">
        <f aca="false">COMPLEX(1,0)</f>
        <v>1</v>
      </c>
      <c r="L289" s="7" t="str">
        <f aca="false">COMPLEX(-C289,0)</f>
        <v>-0.928363858363858</v>
      </c>
      <c r="M289" s="7" t="str">
        <f aca="false">COMPLEX(0,0)</f>
        <v>0</v>
      </c>
      <c r="N289" s="7" t="str">
        <f aca="false">COMPLEX(1,0)</f>
        <v>1</v>
      </c>
      <c r="O289" s="7" t="str">
        <f aca="false">IMSUM(IMPRODUCT(K289,O288),IMPRODUCT(L289,Q288))</f>
        <v>1+6.00145839178213i</v>
      </c>
      <c r="P289" s="7" t="str">
        <f aca="false">IMSUM(IMPRODUCT(K289,P288),IMPRODUCT(L289,R288))</f>
        <v>-1.05836385836386-0.780189590931677i</v>
      </c>
      <c r="Q289" s="7" t="str">
        <f aca="false">IMSUM(IMPRODUCT(M289,O288),IMPRODUCT(N289,Q288))</f>
        <v>-6.46455410528266i</v>
      </c>
      <c r="R289" s="7" t="str">
        <f aca="false">IMSUM(IMPRODUCT(M289,P288),IMPRODUCT(N289,R288))</f>
        <v>1+0.840392033686746i</v>
      </c>
    </row>
    <row r="290" customFormat="false" ht="15" hidden="false" customHeight="false" outlineLevel="0" collapsed="false">
      <c r="A290" s="7" t="s">
        <v>67</v>
      </c>
      <c r="B290" s="7" t="s">
        <v>65</v>
      </c>
      <c r="C290" s="10" t="n">
        <f aca="false">INDEX(Classes!$B$5:$F$9,MATCH(Engine!$C$269,Classes!$A$5:$A$9,0),4)*(N283*1000)</f>
        <v>0</v>
      </c>
      <c r="K290" s="7" t="str">
        <f aca="false">COMPLEX(1,0)</f>
        <v>1</v>
      </c>
      <c r="L290" s="7" t="str">
        <f aca="false">COMPLEX(0,0)</f>
        <v>0</v>
      </c>
      <c r="M290" s="7" t="str">
        <f aca="false">COMPLEX(0,-(2*PI()/($B$2*3600))*C290)</f>
        <v>0</v>
      </c>
      <c r="N290" s="7" t="str">
        <f aca="false">COMPLEX(1,0)</f>
        <v>1</v>
      </c>
      <c r="O290" s="7" t="str">
        <f aca="false">IMSUM(IMPRODUCT(K290,O289),IMPRODUCT(L290,Q289))</f>
        <v>1+6.00145839178213i</v>
      </c>
      <c r="P290" s="7" t="str">
        <f aca="false">IMSUM(IMPRODUCT(K290,P289),IMPRODUCT(L290,R289))</f>
        <v>-1.05836385836386-0.780189590931677i</v>
      </c>
      <c r="Q290" s="7" t="str">
        <f aca="false">IMSUM(IMPRODUCT(M290,O289),IMPRODUCT(N290,Q289))</f>
        <v>-6.46455410528266i</v>
      </c>
      <c r="R290" s="7" t="str">
        <f aca="false">IMSUM(IMPRODUCT(M290,P289),IMPRODUCT(N290,R289))</f>
        <v>1+0.840392033686746i</v>
      </c>
    </row>
    <row r="291" customFormat="false" ht="15" hidden="false" customHeight="false" outlineLevel="0" collapsed="false">
      <c r="A291" s="7" t="s">
        <v>68</v>
      </c>
      <c r="B291" s="7" t="s">
        <v>42</v>
      </c>
      <c r="C291" s="10" t="n">
        <f aca="false">P283/3</f>
        <v>1.85672771672772</v>
      </c>
      <c r="K291" s="7" t="str">
        <f aca="false">COMPLEX(1,0)</f>
        <v>1</v>
      </c>
      <c r="L291" s="7" t="str">
        <f aca="false">COMPLEX(-C291,0)</f>
        <v>-1.85672771672772</v>
      </c>
      <c r="M291" s="7" t="str">
        <f aca="false">COMPLEX(0,0)</f>
        <v>0</v>
      </c>
      <c r="N291" s="7" t="str">
        <f aca="false">COMPLEX(1,0)</f>
        <v>1</v>
      </c>
      <c r="O291" s="7" t="str">
        <f aca="false">IMSUM(IMPRODUCT(K291,O290),IMPRODUCT(L291,Q290))</f>
        <v>1+18.0043751753464i</v>
      </c>
      <c r="P291" s="7" t="str">
        <f aca="false">IMSUM(IMPRODUCT(K291,P290),IMPRODUCT(L291,R290))</f>
        <v>-2.91509157509158-2.34056877279504i</v>
      </c>
      <c r="Q291" s="7" t="str">
        <f aca="false">IMSUM(IMPRODUCT(M291,O290),IMPRODUCT(N291,Q290))</f>
        <v>-6.46455410528266i</v>
      </c>
      <c r="R291" s="7" t="str">
        <f aca="false">IMSUM(IMPRODUCT(M291,P290),IMPRODUCT(N291,R290))</f>
        <v>1+0.840392033686746i</v>
      </c>
    </row>
    <row r="292" customFormat="false" ht="15" hidden="false" customHeight="false" outlineLevel="0" collapsed="false">
      <c r="A292" s="7" t="s">
        <v>69</v>
      </c>
      <c r="B292" s="7" t="s">
        <v>65</v>
      </c>
      <c r="C292" s="10" t="n">
        <f aca="false">INDEX(Classes!$B$5:$F$9,MATCH(Engine!$C$269,Classes!$A$5:$A$9,0),3)*(N283*1000)</f>
        <v>0</v>
      </c>
      <c r="K292" s="7" t="str">
        <f aca="false">COMPLEX(1,0)</f>
        <v>1</v>
      </c>
      <c r="L292" s="7" t="str">
        <f aca="false">COMPLEX(0,0)</f>
        <v>0</v>
      </c>
      <c r="M292" s="7" t="str">
        <f aca="false">COMPLEX(0,-(2*PI()/($B$2*3600))*C292)</f>
        <v>0</v>
      </c>
      <c r="N292" s="7" t="str">
        <f aca="false">COMPLEX(1,0)</f>
        <v>1</v>
      </c>
      <c r="O292" s="7" t="str">
        <f aca="false">IMSUM(IMPRODUCT(K292,O291),IMPRODUCT(L292,Q291))</f>
        <v>1+18.0043751753464i</v>
      </c>
      <c r="P292" s="7" t="str">
        <f aca="false">IMSUM(IMPRODUCT(K292,P291),IMPRODUCT(L292,R291))</f>
        <v>-2.91509157509158-2.34056877279504i</v>
      </c>
      <c r="Q292" s="7" t="str">
        <f aca="false">IMSUM(IMPRODUCT(M292,O291),IMPRODUCT(N292,Q291))</f>
        <v>-6.46455410528266i</v>
      </c>
      <c r="R292" s="7" t="str">
        <f aca="false">IMSUM(IMPRODUCT(M292,P291),IMPRODUCT(N292,R291))</f>
        <v>1+0.840392033686746i</v>
      </c>
    </row>
    <row r="293" customFormat="false" ht="15" hidden="false" customHeight="false" outlineLevel="0" collapsed="false">
      <c r="A293" s="7" t="s">
        <v>68</v>
      </c>
      <c r="B293" s="7" t="s">
        <v>42</v>
      </c>
      <c r="C293" s="10" t="n">
        <f aca="false">P283/3</f>
        <v>1.85672771672772</v>
      </c>
      <c r="K293" s="7" t="str">
        <f aca="false">COMPLEX(1,0)</f>
        <v>1</v>
      </c>
      <c r="L293" s="7" t="str">
        <f aca="false">COMPLEX(-C293,0)</f>
        <v>-1.85672771672772</v>
      </c>
      <c r="M293" s="7" t="str">
        <f aca="false">COMPLEX(0,0)</f>
        <v>0</v>
      </c>
      <c r="N293" s="7" t="str">
        <f aca="false">COMPLEX(1,0)</f>
        <v>1</v>
      </c>
      <c r="O293" s="7" t="str">
        <f aca="false">IMSUM(IMPRODUCT(K293,O292),IMPRODUCT(L293,Q292))</f>
        <v>1+30.0072919589107i</v>
      </c>
      <c r="P293" s="7" t="str">
        <f aca="false">IMSUM(IMPRODUCT(K293,P292),IMPRODUCT(L293,R292))</f>
        <v>-4.7718192918193-3.9009479546584i</v>
      </c>
      <c r="Q293" s="7" t="str">
        <f aca="false">IMSUM(IMPRODUCT(M293,O292),IMPRODUCT(N293,Q292))</f>
        <v>-6.46455410528266i</v>
      </c>
      <c r="R293" s="7" t="str">
        <f aca="false">IMSUM(IMPRODUCT(M293,P292),IMPRODUCT(N293,R292))</f>
        <v>1+0.840392033686746i</v>
      </c>
    </row>
    <row r="294" customFormat="false" ht="15" hidden="false" customHeight="false" outlineLevel="0" collapsed="false">
      <c r="A294" s="7" t="s">
        <v>70</v>
      </c>
      <c r="B294" s="7" t="s">
        <v>65</v>
      </c>
      <c r="C294" s="10" t="n">
        <f aca="false">INDEX(Classes!$B$5:$F$9,MATCH(Engine!$C$269,Classes!$A$5:$A$9,0),2)*(N283*1000)</f>
        <v>0</v>
      </c>
      <c r="K294" s="7" t="str">
        <f aca="false">COMPLEX(1,0)</f>
        <v>1</v>
      </c>
      <c r="L294" s="7" t="str">
        <f aca="false">COMPLEX(0,0)</f>
        <v>0</v>
      </c>
      <c r="M294" s="7" t="str">
        <f aca="false">COMPLEX(0,-(2*PI()/($B$2*3600))*C294)</f>
        <v>0</v>
      </c>
      <c r="N294" s="7" t="str">
        <f aca="false">COMPLEX(1,0)</f>
        <v>1</v>
      </c>
      <c r="O294" s="7" t="str">
        <f aca="false">IMSUM(IMPRODUCT(K294,O293),IMPRODUCT(L294,Q293))</f>
        <v>1+30.0072919589107i</v>
      </c>
      <c r="P294" s="7" t="str">
        <f aca="false">IMSUM(IMPRODUCT(K294,P293),IMPRODUCT(L294,R293))</f>
        <v>-4.7718192918193-3.9009479546584i</v>
      </c>
      <c r="Q294" s="7" t="str">
        <f aca="false">IMSUM(IMPRODUCT(M294,O293),IMPRODUCT(N294,Q293))</f>
        <v>-6.46455410528266i</v>
      </c>
      <c r="R294" s="7" t="str">
        <f aca="false">IMSUM(IMPRODUCT(M294,P293),IMPRODUCT(N294,R293))</f>
        <v>1+0.840392033686746i</v>
      </c>
    </row>
    <row r="295" customFormat="false" ht="15" hidden="false" customHeight="false" outlineLevel="0" collapsed="false">
      <c r="A295" s="7" t="s">
        <v>66</v>
      </c>
      <c r="B295" s="7" t="s">
        <v>42</v>
      </c>
      <c r="C295" s="10" t="n">
        <f aca="false">P283/6</f>
        <v>0.928363858363858</v>
      </c>
      <c r="K295" s="7" t="str">
        <f aca="false">COMPLEX(1,0)</f>
        <v>1</v>
      </c>
      <c r="L295" s="7" t="str">
        <f aca="false">COMPLEX(-C295,0)</f>
        <v>-0.928363858363858</v>
      </c>
      <c r="M295" s="7" t="str">
        <f aca="false">COMPLEX(0,0)</f>
        <v>0</v>
      </c>
      <c r="N295" s="7" t="str">
        <f aca="false">COMPLEX(1,0)</f>
        <v>1</v>
      </c>
      <c r="O295" s="7" t="str">
        <f aca="false">IMSUM(IMPRODUCT(K295,O294),IMPRODUCT(L295,Q294))</f>
        <v>1+36.0087503506928i</v>
      </c>
      <c r="P295" s="7" t="str">
        <f aca="false">IMSUM(IMPRODUCT(K295,P294),IMPRODUCT(L295,R294))</f>
        <v>-5.70018315018316-4.68113754559008i</v>
      </c>
      <c r="Q295" s="7" t="str">
        <f aca="false">IMSUM(IMPRODUCT(M295,O294),IMPRODUCT(N295,Q294))</f>
        <v>-6.46455410528266i</v>
      </c>
      <c r="R295" s="7" t="str">
        <f aca="false">IMSUM(IMPRODUCT(M295,P294),IMPRODUCT(N295,R294))</f>
        <v>1+0.840392033686746i</v>
      </c>
    </row>
    <row r="296" customFormat="false" ht="15" hidden="false" customHeight="false" outlineLevel="0" collapsed="false">
      <c r="A296" s="7" t="s">
        <v>71</v>
      </c>
      <c r="B296" s="7" t="s">
        <v>65</v>
      </c>
      <c r="C296" s="10" t="n">
        <f aca="false">INDEX(Classes!$B$5:$F$9,MATCH(Engine!$C$269,Classes!$A$5:$A$9,0),1)*(N283*1000)</f>
        <v>0</v>
      </c>
      <c r="K296" s="7" t="str">
        <f aca="false">COMPLEX(1,0)</f>
        <v>1</v>
      </c>
      <c r="L296" s="7" t="str">
        <f aca="false">COMPLEX(0,0)</f>
        <v>0</v>
      </c>
      <c r="M296" s="7" t="str">
        <f aca="false">COMPLEX(0,-(2*PI()/($B$2*3600))*C296)</f>
        <v>0</v>
      </c>
      <c r="N296" s="7" t="str">
        <f aca="false">COMPLEX(1,0)</f>
        <v>1</v>
      </c>
      <c r="O296" s="7" t="str">
        <f aca="false">IMSUM(IMPRODUCT(K296,O295),IMPRODUCT(L296,Q295))</f>
        <v>1+36.0087503506928i</v>
      </c>
      <c r="P296" s="7" t="str">
        <f aca="false">IMSUM(IMPRODUCT(K296,P295),IMPRODUCT(L296,R295))</f>
        <v>-5.70018315018316-4.68113754559008i</v>
      </c>
      <c r="Q296" s="7" t="str">
        <f aca="false">IMSUM(IMPRODUCT(M296,O295),IMPRODUCT(N296,Q295))</f>
        <v>-6.46455410528266i</v>
      </c>
      <c r="R296" s="7" t="str">
        <f aca="false">IMSUM(IMPRODUCT(M296,P295),IMPRODUCT(N296,R295))</f>
        <v>1+0.840392033686746i</v>
      </c>
    </row>
    <row r="297" customFormat="false" ht="15" hidden="false" customHeight="false" outlineLevel="0" collapsed="false">
      <c r="A297" s="7" t="s">
        <v>72</v>
      </c>
      <c r="B297" s="7" t="s">
        <v>73</v>
      </c>
      <c r="K297" s="7" t="str">
        <f aca="false">K281</f>
        <v>1</v>
      </c>
      <c r="L297" s="7" t="str">
        <f aca="false">L281</f>
        <v>-0</v>
      </c>
      <c r="M297" s="7" t="str">
        <f aca="false">M281</f>
        <v>0</v>
      </c>
      <c r="N297" s="7" t="str">
        <f aca="false">N281</f>
        <v>1</v>
      </c>
      <c r="O297" s="7" t="str">
        <f aca="false">IMSUM(IMPRODUCT(K297,O296),IMPRODUCT(L297,Q296))</f>
        <v>1+36.0087503506928i</v>
      </c>
      <c r="P297" s="7" t="str">
        <f aca="false">IMSUM(IMPRODUCT(K297,P296),IMPRODUCT(L297,R296))</f>
        <v>-5.70018315018316-4.68113754559008i</v>
      </c>
      <c r="Q297" s="7" t="str">
        <f aca="false">IMSUM(IMPRODUCT(M297,O296),IMPRODUCT(N297,Q296))</f>
        <v>-6.46455410528266i</v>
      </c>
      <c r="R297" s="7" t="str">
        <f aca="false">IMSUM(IMPRODUCT(M297,P296),IMPRODUCT(N297,R296))</f>
        <v>1+0.840392033686746i</v>
      </c>
    </row>
    <row r="298" customFormat="false" ht="15" hidden="false" customHeight="false" outlineLevel="0" collapsed="false">
      <c r="A298" s="7" t="s">
        <v>52</v>
      </c>
      <c r="B298" s="7" t="s">
        <v>73</v>
      </c>
      <c r="K298" s="7" t="str">
        <f aca="false">K282</f>
        <v>1</v>
      </c>
      <c r="L298" s="7" t="str">
        <f aca="false">L282</f>
        <v>-0.04</v>
      </c>
      <c r="M298" s="7" t="str">
        <f aca="false">M282</f>
        <v>0</v>
      </c>
      <c r="N298" s="7" t="str">
        <f aca="false">N282</f>
        <v>1</v>
      </c>
      <c r="O298" s="7" t="str">
        <f aca="false">IMSUM(IMPRODUCT(K298,O297),IMPRODUCT(L298,Q297))</f>
        <v>1+36.2673325149041i</v>
      </c>
      <c r="P298" s="7" t="str">
        <f aca="false">IMSUM(IMPRODUCT(K298,P297),IMPRODUCT(L298,R297))</f>
        <v>-5.74018315018316-4.71475322693755i</v>
      </c>
      <c r="Q298" s="7" t="str">
        <f aca="false">IMSUM(IMPRODUCT(M298,O297),IMPRODUCT(N298,Q297))</f>
        <v>-6.46455410528266i</v>
      </c>
      <c r="R298" s="7" t="str">
        <f aca="false">IMSUM(IMPRODUCT(M298,P297),IMPRODUCT(N298,R297))</f>
        <v>1+0.840392033686746i</v>
      </c>
    </row>
    <row r="299" customFormat="false" ht="15" hidden="false" customHeight="false" outlineLevel="0" collapsed="false">
      <c r="A299" s="9" t="s">
        <v>74</v>
      </c>
      <c r="B299" s="13" t="n">
        <f aca="false">IMABS(IMDIV(IMPRODUCT(O298,COMPLEX(-1,0)),P298))</f>
        <v>4.88422094096694</v>
      </c>
    </row>
    <row r="302" customFormat="false" ht="15" hidden="false" customHeight="false" outlineLevel="0" collapsed="false">
      <c r="A302" s="4" t="s">
        <v>99</v>
      </c>
      <c r="B302" s="9" t="s">
        <v>18</v>
      </c>
      <c r="C302" s="7" t="str">
        <f aca="false">INDEX(Library!$F$5:$F$34,MATCH(A302,Library!$A$5:$A$34,0))</f>
        <v>M</v>
      </c>
    </row>
    <row r="303" customFormat="false" ht="15" hidden="false" customHeight="false" outlineLevel="0" collapsed="false">
      <c r="A303" s="4" t="s">
        <v>100</v>
      </c>
      <c r="T303" s="9" t="s">
        <v>20</v>
      </c>
      <c r="U303" s="7" t="n">
        <f aca="false">MATCH($A$302,Library!$A$5:$A$34,0)</f>
        <v>10</v>
      </c>
      <c r="V303" s="9" t="s">
        <v>21</v>
      </c>
      <c r="W303" s="7" t="str">
        <f aca="false">INDEX(Library!$D$5:$D$34,$U$303)</f>
        <v>ext</v>
      </c>
      <c r="X303" s="9" t="s">
        <v>22</v>
      </c>
      <c r="Y303" s="7" t="n">
        <f aca="false">INDEX(Library!$E$5:$E$34,$U$303)</f>
        <v>0.13</v>
      </c>
    </row>
    <row r="304" customFormat="false" ht="15" hidden="false" customHeight="false" outlineLevel="0" collapsed="false">
      <c r="A304" s="9"/>
      <c r="B304" s="9" t="s">
        <v>23</v>
      </c>
      <c r="C304" s="9" t="s">
        <v>24</v>
      </c>
      <c r="D304" s="9" t="s">
        <v>25</v>
      </c>
      <c r="E304" s="9" t="s">
        <v>26</v>
      </c>
      <c r="F304" s="9" t="s">
        <v>27</v>
      </c>
      <c r="G304" s="9" t="s">
        <v>28</v>
      </c>
      <c r="H304" s="9" t="s">
        <v>29</v>
      </c>
      <c r="I304" s="9" t="s">
        <v>30</v>
      </c>
      <c r="J304" s="9" t="s">
        <v>31</v>
      </c>
      <c r="K304" s="9" t="s">
        <v>32</v>
      </c>
      <c r="L304" s="9" t="s">
        <v>33</v>
      </c>
      <c r="M304" s="9" t="s">
        <v>34</v>
      </c>
      <c r="N304" s="9" t="s">
        <v>35</v>
      </c>
      <c r="O304" s="9" t="s">
        <v>36</v>
      </c>
      <c r="P304" s="9" t="s">
        <v>37</v>
      </c>
      <c r="Q304" s="9" t="s">
        <v>38</v>
      </c>
      <c r="R304" s="9" t="s">
        <v>39</v>
      </c>
      <c r="S304" s="9" t="s">
        <v>40</v>
      </c>
      <c r="T304" s="9" t="s">
        <v>41</v>
      </c>
    </row>
    <row r="305" customFormat="false" ht="15" hidden="false" customHeight="false" outlineLevel="0" collapsed="false">
      <c r="A305" s="7" t="s">
        <v>22</v>
      </c>
      <c r="B305" s="7" t="s">
        <v>42</v>
      </c>
      <c r="H305" s="10" t="n">
        <f aca="false">$Y$303</f>
        <v>0.13</v>
      </c>
      <c r="I305" s="11" t="n">
        <f aca="false">IF(B305="mass",SQRT(E305*($B$2*3600)/(PI()*F305*G305)),0)</f>
        <v>0</v>
      </c>
      <c r="J305" s="10" t="n">
        <f aca="false">IF(B305="mass",D305/I305,0)</f>
        <v>0</v>
      </c>
      <c r="K305" s="7" t="str">
        <f aca="false">IF(B305="mass",COMPLEX(COSH(J305)*COS(J305),SINH(J305)*SIN(J305)),COMPLEX(1,0))</f>
        <v>1</v>
      </c>
      <c r="L305" s="7" t="str">
        <f aca="false">IF(B305="mass",COMPLEX(-I305/(2*E305)*(SINH(J305)*COS(J305)+COSH(J305)*SIN(J305)),-I305/(2*E305)*(COSH(J305)*SIN(J305)-SINH(J305)*COS(J305))),COMPLEX(-H305,0))</f>
        <v>-0.13</v>
      </c>
      <c r="M305" s="7" t="str">
        <f aca="false">IF(B305="mass",COMPLEX(-E305/I305*(SINH(J305)*COS(J305)-COSH(J305)*SIN(J305)),-E305/I305*(SINH(J305)*COS(J305)+COSH(J305)*SIN(J305))),COMPLEX(0,0))</f>
        <v>0</v>
      </c>
      <c r="N305" s="7" t="str">
        <f aca="false">K305</f>
        <v>1</v>
      </c>
      <c r="O305" s="7" t="str">
        <f aca="false">K305</f>
        <v>1</v>
      </c>
      <c r="P305" s="7" t="str">
        <f aca="false">L305</f>
        <v>-0.13</v>
      </c>
      <c r="Q305" s="7" t="str">
        <f aca="false">M305</f>
        <v>0</v>
      </c>
      <c r="R305" s="7" t="str">
        <f aca="false">N305</f>
        <v>1</v>
      </c>
      <c r="S305" s="10" t="n">
        <f aca="false">IF(B305="mass",D305/E305,H305)</f>
        <v>0.13</v>
      </c>
      <c r="T305" s="12" t="n">
        <f aca="false">IF(B305="mass",F305*G305*D305,0)</f>
        <v>0</v>
      </c>
    </row>
    <row r="306" customFormat="false" ht="15" hidden="false" customHeight="false" outlineLevel="0" collapsed="false">
      <c r="A306" s="7" t="s">
        <v>43</v>
      </c>
      <c r="B306" s="7" t="str">
        <f aca="false">IF(C306="","none",IF(C306="Cavity","res","mass"))</f>
        <v>mass</v>
      </c>
      <c r="C306" s="7" t="str">
        <f aca="false">IF(INDEX(Library!$G$5:$G$34,$U$303)="","",INDEX(Library!$G$5:$G$34,$U$303))</f>
        <v>plasterboard</v>
      </c>
      <c r="D306" s="11" t="n">
        <f aca="false">IF(B306="mass",INDEX(Library!$H$5:$H$34,$U$303)/1000,0)</f>
        <v>0.0125</v>
      </c>
      <c r="E306" s="7" t="n">
        <f aca="false">IF(B306="mass",INDEX(Materials!$B$5:$B$28,MATCH(C306,Materials!$A$5:$A$28,0)),0)</f>
        <v>0.21</v>
      </c>
      <c r="F306" s="7" t="n">
        <f aca="false">IF(B306="mass",INDEX(Materials!$C$5:$C$28,MATCH(C306,Materials!$A$5:$A$28,0)),0)</f>
        <v>700</v>
      </c>
      <c r="G306" s="7" t="n">
        <f aca="false">IF(B306="mass",INDEX(Materials!$D$5:$D$28,MATCH(C306,Materials!$A$5:$A$28,0)),0)</f>
        <v>1000</v>
      </c>
      <c r="H306" s="10" t="n">
        <f aca="false">IF(B306="res",INDEX(Library!$H$5:$H$34,$U$303),0)</f>
        <v>0</v>
      </c>
      <c r="I306" s="11" t="n">
        <f aca="false">IF(B306="mass",SQRT(E306*($B$2*3600)/(PI()*F306*G306)),0)</f>
        <v>0.0908327707927258</v>
      </c>
      <c r="J306" s="10" t="n">
        <f aca="false">IF(B306="mass",D306/I306,0)</f>
        <v>0.137615531166875</v>
      </c>
      <c r="K306" s="7" t="str">
        <f aca="false">IF(B306="mass",COMPLEX(COSH(J306)*COS(J306),SINH(J306)*SIN(J306)),COMPLEX(1,0))</f>
        <v>0.999940225193105+0.0189379589504749i</v>
      </c>
      <c r="L306" s="7" t="str">
        <f aca="false">IF(B306="mass",COMPLEX(-I306/(2*E306)*(SINH(J306)*COS(J306)+COSH(J306)*SIN(J306)),-I306/(2*E306)*(COSH(J306)*SIN(J306)-SINH(J306)*COS(J306))),COMPLEX(-H306,0))</f>
        <v>-0.0595230979186955-0.000375754009423939i</v>
      </c>
      <c r="M306" s="7" t="str">
        <f aca="false">IF(B306="mass",COMPLEX(-E306/I306*(SINH(J306)*COS(J306)-COSH(J306)*SIN(J306)),-E306/I306*(SINH(J306)*COS(J306)+COSH(J306)*SIN(J306))),COMPLEX(0,0))</f>
        <v>0.00401686359323574-0.636310349296785i</v>
      </c>
      <c r="N306" s="7" t="str">
        <f aca="false">K306</f>
        <v>0.999940225193105+0.0189379589504749i</v>
      </c>
      <c r="O306" s="7" t="str">
        <f aca="false">IMSUM(IMPRODUCT(K306,O305),IMPRODUCT(L306,Q305))</f>
        <v>0.999940225193105+0.0189379589504749i</v>
      </c>
      <c r="P306" s="7" t="str">
        <f aca="false">IMSUM(IMPRODUCT(K306,P305),IMPRODUCT(L306,R305))</f>
        <v>-0.1895153271938-0.00283768867298567i</v>
      </c>
      <c r="Q306" s="7" t="str">
        <f aca="false">IMSUM(IMPRODUCT(M306,O305),IMPRODUCT(N306,Q305))</f>
        <v>0.00401686359323574-0.636310349296785i</v>
      </c>
      <c r="R306" s="7" t="str">
        <f aca="false">IMSUM(IMPRODUCT(M306,P305),IMPRODUCT(N306,R305))</f>
        <v>0.999418032925984+0.101658304359057i</v>
      </c>
      <c r="S306" s="10" t="n">
        <f aca="false">IF(B306="mass",D306/E306,H306)</f>
        <v>0.0595238095238095</v>
      </c>
      <c r="T306" s="12" t="n">
        <f aca="false">IF(B306="mass",F306*G306*D306,0)</f>
        <v>8750</v>
      </c>
    </row>
    <row r="307" customFormat="false" ht="15" hidden="false" customHeight="false" outlineLevel="0" collapsed="false">
      <c r="A307" s="7" t="s">
        <v>44</v>
      </c>
      <c r="B307" s="7" t="str">
        <f aca="false">IF(C307="","none",IF(C307="Cavity","res","mass"))</f>
        <v>res</v>
      </c>
      <c r="C307" s="7" t="str">
        <f aca="false">IF(INDEX(Library!$I$5:$I$34,$U$303)="","",INDEX(Library!$I$5:$I$34,$U$303))</f>
        <v>Cavity</v>
      </c>
      <c r="D307" s="11" t="n">
        <f aca="false">IF(B307="mass",INDEX(Library!$J$5:$J$34,$U$303)/1000,0)</f>
        <v>0</v>
      </c>
      <c r="E307" s="7" t="n">
        <f aca="false">IF(B307="mass",INDEX(Materials!$B$5:$B$28,MATCH(C307,Materials!$A$5:$A$28,0)),0)</f>
        <v>0</v>
      </c>
      <c r="F307" s="7" t="n">
        <f aca="false">IF(B307="mass",INDEX(Materials!$C$5:$C$28,MATCH(C307,Materials!$A$5:$A$28,0)),0)</f>
        <v>0</v>
      </c>
      <c r="G307" s="7" t="n">
        <f aca="false">IF(B307="mass",INDEX(Materials!$D$5:$D$28,MATCH(C307,Materials!$A$5:$A$28,0)),0)</f>
        <v>0</v>
      </c>
      <c r="H307" s="10" t="n">
        <f aca="false">IF(B307="res",INDEX(Library!$J$5:$J$34,$U$303),0)</f>
        <v>0.1</v>
      </c>
      <c r="I307" s="11" t="n">
        <f aca="false">IF(B307="mass",SQRT(E307*($B$2*3600)/(PI()*F307*G307)),0)</f>
        <v>0</v>
      </c>
      <c r="J307" s="10" t="n">
        <f aca="false">IF(B307="mass",D307/I307,0)</f>
        <v>0</v>
      </c>
      <c r="K307" s="7" t="str">
        <f aca="false">IF(B307="mass",COMPLEX(COSH(J307)*COS(J307),SINH(J307)*SIN(J307)),COMPLEX(1,0))</f>
        <v>1</v>
      </c>
      <c r="L307" s="7" t="str">
        <f aca="false">IF(B307="mass",COMPLEX(-I307/(2*E307)*(SINH(J307)*COS(J307)+COSH(J307)*SIN(J307)),-I307/(2*E307)*(COSH(J307)*SIN(J307)-SINH(J307)*COS(J307))),COMPLEX(-H307,0))</f>
        <v>-0.1</v>
      </c>
      <c r="M307" s="7" t="str">
        <f aca="false">IF(B307="mass",COMPLEX(-E307/I307*(SINH(J307)*COS(J307)-COSH(J307)*SIN(J307)),-E307/I307*(SINH(J307)*COS(J307)+COSH(J307)*SIN(J307))),COMPLEX(0,0))</f>
        <v>0</v>
      </c>
      <c r="N307" s="7" t="str">
        <f aca="false">K307</f>
        <v>1</v>
      </c>
      <c r="O307" s="7" t="str">
        <f aca="false">IMSUM(IMPRODUCT(K307,O306),IMPRODUCT(L307,Q306))</f>
        <v>0.999538538833782+0.0825689938801534i</v>
      </c>
      <c r="P307" s="7" t="str">
        <f aca="false">IMSUM(IMPRODUCT(K307,P306),IMPRODUCT(L307,R306))</f>
        <v>-0.289457130486398-0.0130035191088914i</v>
      </c>
      <c r="Q307" s="7" t="str">
        <f aca="false">IMSUM(IMPRODUCT(M307,O306),IMPRODUCT(N307,Q306))</f>
        <v>0.00401686359323574-0.636310349296785i</v>
      </c>
      <c r="R307" s="7" t="str">
        <f aca="false">IMSUM(IMPRODUCT(M307,P306),IMPRODUCT(N307,R306))</f>
        <v>0.999418032925984+0.101658304359057i</v>
      </c>
      <c r="S307" s="10" t="n">
        <f aca="false">IF(B307="mass",D307/E307,H307)</f>
        <v>0.1</v>
      </c>
      <c r="T307" s="12" t="n">
        <f aca="false">IF(B307="mass",F307*G307*D307,0)</f>
        <v>0</v>
      </c>
    </row>
    <row r="308" customFormat="false" ht="15" hidden="false" customHeight="false" outlineLevel="0" collapsed="false">
      <c r="A308" s="7" t="s">
        <v>45</v>
      </c>
      <c r="B308" s="7" t="str">
        <f aca="false">IF(C308="","none",IF(C308="Cavity","res","mass"))</f>
        <v>mass</v>
      </c>
      <c r="C308" s="7" t="str">
        <f aca="false">IF(INDEX(Library!$K$5:$K$34,$U$303)="","",INDEX(Library!$K$5:$K$34,$U$303))</f>
        <v>EPS</v>
      </c>
      <c r="D308" s="11" t="n">
        <f aca="false">IF(B308="mass",INDEX(Library!$L$5:$L$34,$U$303)/1000,0)</f>
        <v>0.07</v>
      </c>
      <c r="E308" s="7" t="n">
        <f aca="false">IF(B308="mass",INDEX(Materials!$B$5:$B$28,MATCH(C308,Materials!$A$5:$A$28,0)),0)</f>
        <v>0.032</v>
      </c>
      <c r="F308" s="7" t="n">
        <f aca="false">IF(B308="mass",INDEX(Materials!$C$5:$C$28,MATCH(C308,Materials!$A$5:$A$28,0)),0)</f>
        <v>20</v>
      </c>
      <c r="G308" s="7" t="n">
        <f aca="false">IF(B308="mass",INDEX(Materials!$D$5:$D$28,MATCH(C308,Materials!$A$5:$A$28,0)),0)</f>
        <v>1450</v>
      </c>
      <c r="H308" s="10" t="n">
        <f aca="false">IF(B308="res",INDEX(Library!$L$5:$L$34,$U$303),0)</f>
        <v>0</v>
      </c>
      <c r="I308" s="11" t="n">
        <f aca="false">IF(B308="mass",SQRT(E308*($B$2*3600)/(PI()*F308*G308)),0)</f>
        <v>0.174203920669382</v>
      </c>
      <c r="J308" s="10" t="n">
        <f aca="false">IF(B308="mass",D308/I308,0)</f>
        <v>0.401827925175413</v>
      </c>
      <c r="K308" s="7" t="str">
        <f aca="false">IF(B308="mass",COMPLEX(COSH(J308)*COS(J308),SINH(J308)*SIN(J308)),COMPLEX(1,0))</f>
        <v>0.99565507534106+0.161418909100461i</v>
      </c>
      <c r="L308" s="7" t="str">
        <f aca="false">IF(B308="mass",COMPLEX(-I308/(2*E308)*(SINH(J308)*COS(J308)+COSH(J308)*SIN(J308)),-I308/(2*E308)*(COSH(J308)*SIN(J308)-SINH(J308)*COS(J308))),COMPLEX(-H308,0))</f>
        <v>-2.18559904301592-0.117720776255074i</v>
      </c>
      <c r="M308" s="7" t="str">
        <f aca="false">IF(B308="mass",COMPLEX(-E308/I308*(SINH(J308)*COS(J308)-COSH(J308)*SIN(J308)),-E308/I308*(SINH(J308)*COS(J308)+COSH(J308)*SIN(J308))),COMPLEX(0,0))</f>
        <v>0.00794451188879779-0.147497477792385i</v>
      </c>
      <c r="N308" s="7" t="str">
        <f aca="false">K308</f>
        <v>0.99565507534106+0.161418909100461i</v>
      </c>
      <c r="O308" s="7" t="str">
        <f aca="false">IMSUM(IMPRODUCT(K308,O307),IMPRODUCT(L308,Q307))</f>
        <v>0.898181220787529+1.63380108054887i</v>
      </c>
      <c r="P308" s="7" t="str">
        <f aca="false">IMSUM(IMPRODUCT(K308,P307),IMPRODUCT(L308,R307))</f>
        <v>-2.45846024902738-0.399507433393669i</v>
      </c>
      <c r="Q308" s="7" t="str">
        <f aca="false">IMSUM(IMPRODUCT(M308,O307),IMPRODUCT(N308,Q307))</f>
        <v>0.126831497202632-0.779670674110903i</v>
      </c>
      <c r="R308" s="7" t="str">
        <f aca="false">IMSUM(IMPRODUCT(M308,P307),IMPRODUCT(N308,R307))</f>
        <v>0.97444848239406+0.30513246535951i</v>
      </c>
      <c r="S308" s="10" t="n">
        <f aca="false">IF(B308="mass",D308/E308,H308)</f>
        <v>2.1875</v>
      </c>
      <c r="T308" s="12" t="n">
        <f aca="false">IF(B308="mass",F308*G308*D308,0)</f>
        <v>2030</v>
      </c>
    </row>
    <row r="309" customFormat="false" ht="15" hidden="false" customHeight="false" outlineLevel="0" collapsed="false">
      <c r="A309" s="7" t="s">
        <v>46</v>
      </c>
      <c r="B309" s="7" t="str">
        <f aca="false">IF(C309="","none",IF(C309="Cavity","res","mass"))</f>
        <v>mass</v>
      </c>
      <c r="C309" s="7" t="str">
        <f aca="false">IF(INDEX(Library!$M$5:$M$34,$U$303)="","",INDEX(Library!$M$5:$M$34,$U$303))</f>
        <v>dense concrete</v>
      </c>
      <c r="D309" s="11" t="n">
        <f aca="false">IF(B309="mass",INDEX(Library!$N$5:$N$34,$U$303)/1000,0)</f>
        <v>0.15</v>
      </c>
      <c r="E309" s="7" t="n">
        <f aca="false">IF(B309="mass",INDEX(Materials!$B$5:$B$28,MATCH(C309,Materials!$A$5:$A$28,0)),0)</f>
        <v>2</v>
      </c>
      <c r="F309" s="7" t="n">
        <f aca="false">IF(B309="mass",INDEX(Materials!$C$5:$C$28,MATCH(C309,Materials!$A$5:$A$28,0)),0)</f>
        <v>2400</v>
      </c>
      <c r="G309" s="7" t="n">
        <f aca="false">IF(B309="mass",INDEX(Materials!$D$5:$D$28,MATCH(C309,Materials!$A$5:$A$28,0)),0)</f>
        <v>1000</v>
      </c>
      <c r="H309" s="10" t="n">
        <f aca="false">IF(B309="res",INDEX(Library!$N$5:$N$34,$U$303),0)</f>
        <v>0</v>
      </c>
      <c r="I309" s="11" t="n">
        <f aca="false">IF(B309="mass",SQRT(E309*($B$2*3600)/(PI()*F309*G309)),0)</f>
        <v>0.15138795132121</v>
      </c>
      <c r="J309" s="10" t="n">
        <f aca="false">IF(B309="mass",D309/I309,0)</f>
        <v>0.990831824401503</v>
      </c>
      <c r="K309" s="7" t="str">
        <f aca="false">IF(B309="mass",COMPLEX(COSH(J309)*COS(J309),SINH(J309)*SIN(J309)),COMPLEX(1,0))</f>
        <v>0.839730425010728+0.971242006803916i</v>
      </c>
      <c r="L309" s="7" t="str">
        <f aca="false">IF(B309="mass",COMPLEX(-I309/(2*E309)*(SINH(J309)*COS(J309)+COSH(J309)*SIN(J309)),-I309/(2*E309)*(COSH(J309)*SIN(J309)-SINH(J309)*COS(J309))),COMPLEX(-H309,0))</f>
        <v>-0.0725934998986889-0.0244311002354339i</v>
      </c>
      <c r="M309" s="7" t="str">
        <f aca="false">IF(B309="mass",COMPLEX(-E309/I309*(SINH(J309)*COS(J309)-COSH(J309)*SIN(J309)),-E309/I309*(SINH(J309)*COS(J309)+COSH(J309)*SIN(J309))),COMPLEX(0,0))</f>
        <v>8.52806277986165-25.3399117755658i</v>
      </c>
      <c r="N309" s="7" t="str">
        <f aca="false">K309</f>
        <v>0.839730425010728+0.971242006803916i</v>
      </c>
      <c r="O309" s="7" t="str">
        <f aca="false">IMSUM(IMPRODUCT(K309,O308),IMPRODUCT(L309,Q308))</f>
        <v>-0.860841496591286+2.29780419708447i</v>
      </c>
      <c r="P309" s="7" t="str">
        <f aca="false">IMSUM(IMPRODUCT(K309,P308),IMPRODUCT(L309,R308))</f>
        <v>-1.73970937240706-2.76919589489242i</v>
      </c>
      <c r="Q309" s="7" t="str">
        <f aca="false">IMSUM(IMPRODUCT(M309,O308),IMPRODUCT(N309,Q308))</f>
        <v>49.9238742557216-9.35820381716993i</v>
      </c>
      <c r="R309" s="7" t="str">
        <f aca="false">IMSUM(IMPRODUCT(M309,P308),IMPRODUCT(N309,R308))</f>
        <v>-30.5674698911031+60.0927956554751i</v>
      </c>
      <c r="S309" s="10" t="n">
        <f aca="false">IF(B309="mass",D309/E309,H309)</f>
        <v>0.075</v>
      </c>
      <c r="T309" s="12" t="n">
        <f aca="false">IF(B309="mass",F309*G309*D309,0)</f>
        <v>360000</v>
      </c>
    </row>
    <row r="310" customFormat="false" ht="15" hidden="false" customHeight="false" outlineLevel="0" collapsed="false">
      <c r="A310" s="7" t="s">
        <v>47</v>
      </c>
      <c r="B310" s="7" t="str">
        <f aca="false">IF(C310="","none",IF(C310="Cavity","res","mass"))</f>
        <v>mass</v>
      </c>
      <c r="C310" s="7" t="str">
        <f aca="false">IF(INDEX(Library!$O$5:$O$34,$U$303)="","",INDEX(Library!$O$5:$O$34,$U$303))</f>
        <v>EPS</v>
      </c>
      <c r="D310" s="11" t="n">
        <f aca="false">IF(B310="mass",INDEX(Library!$P$5:$P$34,$U$303)/1000,0)</f>
        <v>0.07</v>
      </c>
      <c r="E310" s="7" t="n">
        <f aca="false">IF(B310="mass",INDEX(Materials!$B$5:$B$28,MATCH(C310,Materials!$A$5:$A$28,0)),0)</f>
        <v>0.032</v>
      </c>
      <c r="F310" s="7" t="n">
        <f aca="false">IF(B310="mass",INDEX(Materials!$C$5:$C$28,MATCH(C310,Materials!$A$5:$A$28,0)),0)</f>
        <v>20</v>
      </c>
      <c r="G310" s="7" t="n">
        <f aca="false">IF(B310="mass",INDEX(Materials!$D$5:$D$28,MATCH(C310,Materials!$A$5:$A$28,0)),0)</f>
        <v>1450</v>
      </c>
      <c r="H310" s="10" t="n">
        <f aca="false">IF(B310="res",INDEX(Library!$P$5:$P$34,$U$303),0)</f>
        <v>0</v>
      </c>
      <c r="I310" s="11" t="n">
        <f aca="false">IF(B310="mass",SQRT(E310*($B$2*3600)/(PI()*F310*G310)),0)</f>
        <v>0.174203920669382</v>
      </c>
      <c r="J310" s="10" t="n">
        <f aca="false">IF(B310="mass",D310/I310,0)</f>
        <v>0.401827925175413</v>
      </c>
      <c r="K310" s="7" t="str">
        <f aca="false">IF(B310="mass",COMPLEX(COSH(J310)*COS(J310),SINH(J310)*SIN(J310)),COMPLEX(1,0))</f>
        <v>0.99565507534106+0.161418909100461i</v>
      </c>
      <c r="L310" s="7" t="str">
        <f aca="false">IF(B310="mass",COMPLEX(-I310/(2*E310)*(SINH(J310)*COS(J310)+COSH(J310)*SIN(J310)),-I310/(2*E310)*(COSH(J310)*SIN(J310)-SINH(J310)*COS(J310))),COMPLEX(-H310,0))</f>
        <v>-2.18559904301592-0.117720776255074i</v>
      </c>
      <c r="M310" s="7" t="str">
        <f aca="false">IF(B310="mass",COMPLEX(-E310/I310*(SINH(J310)*COS(J310)-COSH(J310)*SIN(J310)),-E310/I310*(SINH(J310)*COS(J310)+COSH(J310)*SIN(J310))),COMPLEX(0,0))</f>
        <v>0.00794451188879779-0.147497477792385i</v>
      </c>
      <c r="N310" s="7" t="str">
        <f aca="false">K310</f>
        <v>0.99565507534106+0.161418909100461i</v>
      </c>
      <c r="O310" s="7" t="str">
        <f aca="false">IMSUM(IMPRODUCT(K310,O309),IMPRODUCT(L310,Q309))</f>
        <v>-111.443237066628+16.7250683917893i</v>
      </c>
      <c r="P310" s="7" t="str">
        <f aca="false">IMSUM(IMPRODUCT(K310,P309),IMPRODUCT(L310,R309))</f>
        <v>72.5972536074964-130.778316329432i</v>
      </c>
      <c r="Q310" s="7" t="str">
        <f aca="false">IMSUM(IMPRODUCT(M310,O309),IMPRODUCT(N310,Q309))</f>
        <v>51.5496311927321-1.11365892392605i</v>
      </c>
      <c r="R310" s="7" t="str">
        <f aca="false">IMSUM(IMPRODUCT(M310,P309),IMPRODUCT(N310,R309))</f>
        <v>-40.5570406087174+55.1321321768363i</v>
      </c>
      <c r="S310" s="10" t="n">
        <f aca="false">IF(B310="mass",D310/E310,H310)</f>
        <v>2.1875</v>
      </c>
      <c r="T310" s="12" t="n">
        <f aca="false">IF(B310="mass",F310*G310*D310,0)</f>
        <v>2030</v>
      </c>
    </row>
    <row r="311" customFormat="false" ht="15" hidden="false" customHeight="false" outlineLevel="0" collapsed="false">
      <c r="A311" s="7" t="s">
        <v>48</v>
      </c>
      <c r="B311" s="7" t="str">
        <f aca="false">IF(C311="","none",IF(C311="Cavity","res","mass"))</f>
        <v>mass</v>
      </c>
      <c r="C311" s="7" t="str">
        <f aca="false">IF(INDEX(Library!$Q$5:$Q$34,$U$303)="","",INDEX(Library!$Q$5:$Q$34,$U$303))</f>
        <v>render</v>
      </c>
      <c r="D311" s="11" t="n">
        <f aca="false">IF(B311="mass",INDEX(Library!$R$5:$R$34,$U$303)/1000,0)</f>
        <v>0.01</v>
      </c>
      <c r="E311" s="7" t="n">
        <f aca="false">IF(B311="mass",INDEX(Materials!$B$5:$B$28,MATCH(C311,Materials!$A$5:$A$28,0)),0)</f>
        <v>0.8</v>
      </c>
      <c r="F311" s="7" t="n">
        <f aca="false">IF(B311="mass",INDEX(Materials!$C$5:$C$28,MATCH(C311,Materials!$A$5:$A$28,0)),0)</f>
        <v>1800</v>
      </c>
      <c r="G311" s="7" t="n">
        <f aca="false">IF(B311="mass",INDEX(Materials!$D$5:$D$28,MATCH(C311,Materials!$A$5:$A$28,0)),0)</f>
        <v>1000</v>
      </c>
      <c r="H311" s="10" t="n">
        <f aca="false">IF(B311="res",INDEX(Library!$R$5:$R$34,$U$303),0)</f>
        <v>0</v>
      </c>
      <c r="I311" s="11" t="n">
        <f aca="false">IF(B311="mass",SQRT(E311*($B$2*3600)/(PI()*F311*G311)),0)</f>
        <v>0.110558127830827</v>
      </c>
      <c r="J311" s="10" t="n">
        <f aca="false">IF(B311="mass",D311/I311,0)</f>
        <v>0.0904501568197835</v>
      </c>
      <c r="K311" s="7" t="str">
        <f aca="false">IF(B311="mass",COMPLEX(COSH(J311)*COS(J311),SINH(J311)*SIN(J311)),COMPLEX(1,0))</f>
        <v>0.99998884457869+0.00818122478438429i</v>
      </c>
      <c r="L311" s="7" t="str">
        <f aca="false">IF(B311="mass",COMPLEX(-I311/(2*E311)*(SINH(J311)*COS(J311)+COSH(J311)*SIN(J311)),-I311/(2*E311)*(COSH(J311)*SIN(J311)-SINH(J311)*COS(J311))),COMPLEX(-H311,0))</f>
        <v>-0.0124999721114447-3.40884510881232e-05i</v>
      </c>
      <c r="M311" s="7" t="str">
        <f aca="false">IF(B311="mass",COMPLEX(-E311/I311*(SINH(J311)*COS(J311)-COSH(J311)*SIN(J311)),-E311/I311*(SINH(J311)*COS(J311)+COSH(J311)*SIN(J311))),COMPLEX(0,0))</f>
        <v>0.00356973425035676-1.30899401851307i</v>
      </c>
      <c r="N311" s="7" t="str">
        <f aca="false">K311</f>
        <v>0.99998884457869+0.00818122478438429i</v>
      </c>
      <c r="O311" s="7" t="str">
        <f aca="false">IMSUM(IMPRODUCT(K311,O310),IMPRODUCT(L311,Q310))</f>
        <v>-112.223232329586+15.8253031018726i</v>
      </c>
      <c r="P311" s="7" t="str">
        <f aca="false">IMSUM(IMPRODUCT(K311,P310),IMPRODUCT(L311,R310))</f>
        <v>74.1752118028837-130.870690579683i</v>
      </c>
      <c r="Q311" s="7" t="str">
        <f aca="false">IMSUM(IMPRODUCT(M311,O310),IMPRODUCT(N311,Q310))</f>
        <v>73.0533589726143+145.246327393176i</v>
      </c>
      <c r="R311" s="7" t="str">
        <f aca="false">IMSUM(IMPRODUCT(M311,P310),IMPRODUCT(N311,R310))</f>
        <v>-211.936517467775-40.6965036788295i</v>
      </c>
      <c r="S311" s="10" t="n">
        <f aca="false">IF(B311="mass",D311/E311,H311)</f>
        <v>0.0125</v>
      </c>
      <c r="T311" s="12" t="n">
        <f aca="false">IF(B311="mass",F311*G311*D311,0)</f>
        <v>18000</v>
      </c>
    </row>
    <row r="312" customFormat="false" ht="15" hidden="false" customHeight="false" outlineLevel="0" collapsed="false">
      <c r="A312" s="7" t="s">
        <v>49</v>
      </c>
      <c r="B312" s="7" t="str">
        <f aca="false">IF(C312="","none",IF(C312="Cavity","res","mass"))</f>
        <v>none</v>
      </c>
      <c r="C312" s="7" t="str">
        <f aca="false">IF(INDEX(Library!$S$5:$S$34,$U$303)="","",INDEX(Library!$S$5:$S$34,$U$303))</f>
        <v/>
      </c>
      <c r="D312" s="11" t="n">
        <f aca="false">IF(B312="mass",INDEX(Library!$T$5:$T$34,$U$303)/1000,0)</f>
        <v>0</v>
      </c>
      <c r="E312" s="7" t="n">
        <f aca="false">IF(B312="mass",INDEX(Materials!$B$5:$B$28,MATCH(C312,Materials!$A$5:$A$28,0)),0)</f>
        <v>0</v>
      </c>
      <c r="F312" s="7" t="n">
        <f aca="false">IF(B312="mass",INDEX(Materials!$C$5:$C$28,MATCH(C312,Materials!$A$5:$A$28,0)),0)</f>
        <v>0</v>
      </c>
      <c r="G312" s="7" t="n">
        <f aca="false">IF(B312="mass",INDEX(Materials!$D$5:$D$28,MATCH(C312,Materials!$A$5:$A$28,0)),0)</f>
        <v>0</v>
      </c>
      <c r="H312" s="10" t="n">
        <f aca="false">IF(B312="res",INDEX(Library!$T$5:$T$34,$U$303),0)</f>
        <v>0</v>
      </c>
      <c r="I312" s="11" t="n">
        <f aca="false">IF(B312="mass",SQRT(E312*($B$2*3600)/(PI()*F312*G312)),0)</f>
        <v>0</v>
      </c>
      <c r="J312" s="10" t="n">
        <f aca="false">IF(B312="mass",D312/I312,0)</f>
        <v>0</v>
      </c>
      <c r="K312" s="7" t="str">
        <f aca="false">IF(B312="mass",COMPLEX(COSH(J312)*COS(J312),SINH(J312)*SIN(J312)),COMPLEX(1,0))</f>
        <v>1</v>
      </c>
      <c r="L312" s="7" t="str">
        <f aca="false">IF(B312="mass",COMPLEX(-I312/(2*E312)*(SINH(J312)*COS(J312)+COSH(J312)*SIN(J312)),-I312/(2*E312)*(COSH(J312)*SIN(J312)-SINH(J312)*COS(J312))),COMPLEX(-H312,0))</f>
        <v>-0</v>
      </c>
      <c r="M312" s="7" t="str">
        <f aca="false">IF(B312="mass",COMPLEX(-E312/I312*(SINH(J312)*COS(J312)-COSH(J312)*SIN(J312)),-E312/I312*(SINH(J312)*COS(J312)+COSH(J312)*SIN(J312))),COMPLEX(0,0))</f>
        <v>0</v>
      </c>
      <c r="N312" s="7" t="str">
        <f aca="false">K312</f>
        <v>1</v>
      </c>
      <c r="O312" s="7" t="str">
        <f aca="false">IMSUM(IMPRODUCT(K312,O311),IMPRODUCT(L312,Q311))</f>
        <v>-112.223232329586+15.8253031018726i</v>
      </c>
      <c r="P312" s="7" t="str">
        <f aca="false">IMSUM(IMPRODUCT(K312,P311),IMPRODUCT(L312,R311))</f>
        <v>74.1752118028837-130.870690579683i</v>
      </c>
      <c r="Q312" s="7" t="str">
        <f aca="false">IMSUM(IMPRODUCT(M312,O311),IMPRODUCT(N312,Q311))</f>
        <v>73.0533589726143+145.246327393176i</v>
      </c>
      <c r="R312" s="7" t="str">
        <f aca="false">IMSUM(IMPRODUCT(M312,P311),IMPRODUCT(N312,R311))</f>
        <v>-211.936517467775-40.6965036788295i</v>
      </c>
      <c r="S312" s="10" t="n">
        <f aca="false">IF(B312="mass",D312/E312,H312)</f>
        <v>0</v>
      </c>
      <c r="T312" s="12" t="n">
        <f aca="false">IF(B312="mass",F312*G312*D312,0)</f>
        <v>0</v>
      </c>
    </row>
    <row r="313" customFormat="false" ht="15" hidden="false" customHeight="false" outlineLevel="0" collapsed="false">
      <c r="A313" s="7" t="s">
        <v>50</v>
      </c>
      <c r="B313" s="7" t="str">
        <f aca="false">IF(C313="","none",IF(C313="Cavity","res","mass"))</f>
        <v>none</v>
      </c>
      <c r="C313" s="7" t="str">
        <f aca="false">IF(INDEX(Library!$U$5:$U$34,$U$303)="","",INDEX(Library!$U$5:$U$34,$U$303))</f>
        <v/>
      </c>
      <c r="D313" s="11" t="n">
        <f aca="false">IF(B313="mass",INDEX(Library!$V$5:$V$34,$U$303)/1000,0)</f>
        <v>0</v>
      </c>
      <c r="E313" s="7" t="n">
        <f aca="false">IF(B313="mass",INDEX(Materials!$B$5:$B$28,MATCH(C313,Materials!$A$5:$A$28,0)),0)</f>
        <v>0</v>
      </c>
      <c r="F313" s="7" t="n">
        <f aca="false">IF(B313="mass",INDEX(Materials!$C$5:$C$28,MATCH(C313,Materials!$A$5:$A$28,0)),0)</f>
        <v>0</v>
      </c>
      <c r="G313" s="7" t="n">
        <f aca="false">IF(B313="mass",INDEX(Materials!$D$5:$D$28,MATCH(C313,Materials!$A$5:$A$28,0)),0)</f>
        <v>0</v>
      </c>
      <c r="H313" s="10" t="n">
        <f aca="false">IF(B313="res",INDEX(Library!$V$5:$V$34,$U$303),0)</f>
        <v>0</v>
      </c>
      <c r="I313" s="11" t="n">
        <f aca="false">IF(B313="mass",SQRT(E313*($B$2*3600)/(PI()*F313*G313)),0)</f>
        <v>0</v>
      </c>
      <c r="J313" s="10" t="n">
        <f aca="false">IF(B313="mass",D313/I313,0)</f>
        <v>0</v>
      </c>
      <c r="K313" s="7" t="str">
        <f aca="false">IF(B313="mass",COMPLEX(COSH(J313)*COS(J313),SINH(J313)*SIN(J313)),COMPLEX(1,0))</f>
        <v>1</v>
      </c>
      <c r="L313" s="7" t="str">
        <f aca="false">IF(B313="mass",COMPLEX(-I313/(2*E313)*(SINH(J313)*COS(J313)+COSH(J313)*SIN(J313)),-I313/(2*E313)*(COSH(J313)*SIN(J313)-SINH(J313)*COS(J313))),COMPLEX(-H313,0))</f>
        <v>-0</v>
      </c>
      <c r="M313" s="7" t="str">
        <f aca="false">IF(B313="mass",COMPLEX(-E313/I313*(SINH(J313)*COS(J313)-COSH(J313)*SIN(J313)),-E313/I313*(SINH(J313)*COS(J313)+COSH(J313)*SIN(J313))),COMPLEX(0,0))</f>
        <v>0</v>
      </c>
      <c r="N313" s="7" t="str">
        <f aca="false">K313</f>
        <v>1</v>
      </c>
      <c r="O313" s="7" t="str">
        <f aca="false">IMSUM(IMPRODUCT(K313,O312),IMPRODUCT(L313,Q312))</f>
        <v>-112.223232329586+15.8253031018726i</v>
      </c>
      <c r="P313" s="7" t="str">
        <f aca="false">IMSUM(IMPRODUCT(K313,P312),IMPRODUCT(L313,R312))</f>
        <v>74.1752118028837-130.870690579683i</v>
      </c>
      <c r="Q313" s="7" t="str">
        <f aca="false">IMSUM(IMPRODUCT(M313,O312),IMPRODUCT(N313,Q312))</f>
        <v>73.0533589726143+145.246327393176i</v>
      </c>
      <c r="R313" s="7" t="str">
        <f aca="false">IMSUM(IMPRODUCT(M313,P312),IMPRODUCT(N313,R312))</f>
        <v>-211.936517467775-40.6965036788295i</v>
      </c>
      <c r="S313" s="10" t="n">
        <f aca="false">IF(B313="mass",D313/E313,H313)</f>
        <v>0</v>
      </c>
      <c r="T313" s="12" t="n">
        <f aca="false">IF(B313="mass",F313*G313*D313,0)</f>
        <v>0</v>
      </c>
    </row>
    <row r="314" customFormat="false" ht="15" hidden="false" customHeight="false" outlineLevel="0" collapsed="false">
      <c r="A314" s="7" t="s">
        <v>51</v>
      </c>
      <c r="B314" s="7" t="str">
        <f aca="false">IF($W$303="ground","mass",IF($W$303="adiabatic","res","none"))</f>
        <v>none</v>
      </c>
      <c r="C314" s="7" t="str">
        <f aca="false">IF($W$303="ground","clay soil","")</f>
        <v/>
      </c>
      <c r="D314" s="11" t="n">
        <f aca="false">IF(B314="mass",1,0)</f>
        <v>0</v>
      </c>
      <c r="E314" s="7" t="n">
        <f aca="false">IF(B314="mass",INDEX(Materials!$B$5:$B$28,MATCH(C314,Materials!$A$5:$A$28,0)),0)</f>
        <v>0</v>
      </c>
      <c r="F314" s="7" t="n">
        <f aca="false">IF(B314="mass",INDEX(Materials!$C$5:$C$28,MATCH(C314,Materials!$A$5:$A$28,0)),0)</f>
        <v>0</v>
      </c>
      <c r="G314" s="7" t="n">
        <f aca="false">IF(B314="mass",INDEX(Materials!$D$5:$D$28,MATCH(C314,Materials!$A$5:$A$28,0)),0)</f>
        <v>0</v>
      </c>
      <c r="H314" s="12" t="n">
        <f aca="false">IF(B314="res",1000000,0)</f>
        <v>0</v>
      </c>
      <c r="I314" s="11" t="n">
        <f aca="false">IF(B314="mass",SQRT(E314*($B$2*3600)/(PI()*F314*G314)),0)</f>
        <v>0</v>
      </c>
      <c r="J314" s="10" t="n">
        <f aca="false">IF(B314="mass",D314/I314,0)</f>
        <v>0</v>
      </c>
      <c r="K314" s="7" t="str">
        <f aca="false">IF(B314="mass",COMPLEX(COSH(J314)*COS(J314),SINH(J314)*SIN(J314)),COMPLEX(1,0))</f>
        <v>1</v>
      </c>
      <c r="L314" s="7" t="str">
        <f aca="false">IF(B314="mass",COMPLEX(-I314/(2*E314)*(SINH(J314)*COS(J314)+COSH(J314)*SIN(J314)),-I314/(2*E314)*(COSH(J314)*SIN(J314)-SINH(J314)*COS(J314))),COMPLEX(-H314,0))</f>
        <v>-0</v>
      </c>
      <c r="M314" s="7" t="str">
        <f aca="false">IF(B314="mass",COMPLEX(-E314/I314*(SINH(J314)*COS(J314)-COSH(J314)*SIN(J314)),-E314/I314*(SINH(J314)*COS(J314)+COSH(J314)*SIN(J314))),COMPLEX(0,0))</f>
        <v>0</v>
      </c>
      <c r="N314" s="7" t="str">
        <f aca="false">K314</f>
        <v>1</v>
      </c>
      <c r="O314" s="7" t="str">
        <f aca="false">IMSUM(IMPRODUCT(K314,O313),IMPRODUCT(L314,Q313))</f>
        <v>-112.223232329586+15.8253031018726i</v>
      </c>
      <c r="P314" s="7" t="str">
        <f aca="false">IMSUM(IMPRODUCT(K314,P313),IMPRODUCT(L314,R313))</f>
        <v>74.1752118028837-130.870690579683i</v>
      </c>
      <c r="Q314" s="7" t="str">
        <f aca="false">IMSUM(IMPRODUCT(M314,O313),IMPRODUCT(N314,Q313))</f>
        <v>73.0533589726143+145.246327393176i</v>
      </c>
      <c r="R314" s="7" t="str">
        <f aca="false">IMSUM(IMPRODUCT(M314,P313),IMPRODUCT(N314,R313))</f>
        <v>-211.936517467775-40.6965036788295i</v>
      </c>
      <c r="S314" s="10" t="n">
        <f aca="false">IF(B314="mass",D314/E314,H314)</f>
        <v>0</v>
      </c>
      <c r="T314" s="12" t="n">
        <f aca="false">IF(B314="mass",F314*G314*D314,0)</f>
        <v>0</v>
      </c>
    </row>
    <row r="315" customFormat="false" ht="15" hidden="false" customHeight="false" outlineLevel="0" collapsed="false">
      <c r="A315" s="7" t="s">
        <v>52</v>
      </c>
      <c r="B315" s="7" t="s">
        <v>42</v>
      </c>
      <c r="H315" s="10" t="n">
        <f aca="false">IF($W$303="ext",0.04,IF($W$303="room",$Y$303,0))</f>
        <v>0.04</v>
      </c>
      <c r="I315" s="11" t="n">
        <f aca="false">IF(B315="mass",SQRT(E315*($B$2*3600)/(PI()*F315*G315)),0)</f>
        <v>0</v>
      </c>
      <c r="J315" s="10" t="n">
        <f aca="false">IF(B315="mass",D315/I315,0)</f>
        <v>0</v>
      </c>
      <c r="K315" s="7" t="str">
        <f aca="false">IF(B315="mass",COMPLEX(COSH(J315)*COS(J315),SINH(J315)*SIN(J315)),COMPLEX(1,0))</f>
        <v>1</v>
      </c>
      <c r="L315" s="7" t="str">
        <f aca="false">IF(B315="mass",COMPLEX(-I315/(2*E315)*(SINH(J315)*COS(J315)+COSH(J315)*SIN(J315)),-I315/(2*E315)*(COSH(J315)*SIN(J315)-SINH(J315)*COS(J315))),COMPLEX(-H315,0))</f>
        <v>-0.04</v>
      </c>
      <c r="M315" s="7" t="str">
        <f aca="false">IF(B315="mass",COMPLEX(-E315/I315*(SINH(J315)*COS(J315)-COSH(J315)*SIN(J315)),-E315/I315*(SINH(J315)*COS(J315)+COSH(J315)*SIN(J315))),COMPLEX(0,0))</f>
        <v>0</v>
      </c>
      <c r="N315" s="7" t="str">
        <f aca="false">K315</f>
        <v>1</v>
      </c>
      <c r="O315" s="7" t="str">
        <f aca="false">IMSUM(IMPRODUCT(K315,O314),IMPRODUCT(L315,Q314))</f>
        <v>-115.145366688491+10.0154500061456i</v>
      </c>
      <c r="P315" s="7" t="str">
        <f aca="false">IMSUM(IMPRODUCT(K315,P314),IMPRODUCT(L315,R314))</f>
        <v>82.6526725015947-129.24283043253i</v>
      </c>
      <c r="Q315" s="7" t="str">
        <f aca="false">IMSUM(IMPRODUCT(M315,O314),IMPRODUCT(N315,Q314))</f>
        <v>73.0533589726143+145.246327393176i</v>
      </c>
      <c r="R315" s="7" t="str">
        <f aca="false">IMSUM(IMPRODUCT(M315,P314),IMPRODUCT(N315,R314))</f>
        <v>-211.936517467775-40.6965036788295i</v>
      </c>
      <c r="S315" s="10" t="n">
        <f aca="false">IF(B315="mass",D315/E315,H315)</f>
        <v>0.04</v>
      </c>
      <c r="T315" s="12" t="n">
        <f aca="false">IF(B315="mass",F315*G315*D315,0)</f>
        <v>0</v>
      </c>
    </row>
    <row r="316" customFormat="false" ht="15" hidden="false" customHeight="false" outlineLevel="0" collapsed="false">
      <c r="A316" s="9" t="s">
        <v>53</v>
      </c>
      <c r="B316" s="13" t="n">
        <f aca="false">IF(OR($W$303="ext",$W$303="ground"),1/SUM(S305:S315),"–")</f>
        <v>0.208680098377761</v>
      </c>
      <c r="C316" s="9" t="s">
        <v>54</v>
      </c>
      <c r="D316" s="13" t="n">
        <f aca="false">IMABS(IMDIV(IMPRODUCT(O315,COMPLEX(-1,0)),P315))</f>
        <v>0.753397974471856</v>
      </c>
      <c r="E316" s="9" t="s">
        <v>55</v>
      </c>
      <c r="F316" s="14" t="n">
        <f aca="false">IMARGUMENT(IMDIV(IMPRODUCT(O315,COMPLEX(-1,0)),P315))*$B$2/(2*PI())</f>
        <v>3.49529096524613</v>
      </c>
      <c r="G316" s="9" t="s">
        <v>56</v>
      </c>
      <c r="H316" s="13" t="n">
        <f aca="false">IF($W$303="ext",IMABS(IMDIV(COMPLEX(-1,0),P315))*SUM(S305:S315),"–")</f>
        <v>0.0312363489047146</v>
      </c>
      <c r="I316" s="9" t="s">
        <v>57</v>
      </c>
      <c r="J316" s="14" t="n">
        <f aca="false">IF($W$303="ext",MOD(-IMARGUMENT(IMDIV(COMPLEX(-1,0),P315))*$B$2/(2*PI()),24),"–")</f>
        <v>8.17330048874918</v>
      </c>
      <c r="K316" s="9" t="s">
        <v>58</v>
      </c>
      <c r="L316" s="15" t="n">
        <f aca="false">($B$2*3600)/(2*PI())*IMABS(IMDIV(IMSUB(O315,COMPLEX(1,0)),P315))/1000</f>
        <v>10.4492660353294</v>
      </c>
      <c r="M316" s="9" t="s">
        <v>59</v>
      </c>
      <c r="N316" s="15" t="n">
        <f aca="false">SUM(T306:T313)/1000</f>
        <v>390.81</v>
      </c>
      <c r="O316" s="9" t="s">
        <v>60</v>
      </c>
      <c r="P316" s="16" t="n">
        <f aca="false">SUM(S306:S313)</f>
        <v>4.62202380952381</v>
      </c>
    </row>
    <row r="318" customFormat="false" ht="15" hidden="false" customHeight="false" outlineLevel="0" collapsed="false">
      <c r="A318" s="4" t="s">
        <v>101</v>
      </c>
    </row>
    <row r="319" customFormat="false" ht="15" hidden="false" customHeight="false" outlineLevel="0" collapsed="false">
      <c r="A319" s="9"/>
      <c r="B319" s="9" t="s">
        <v>62</v>
      </c>
      <c r="C319" s="9" t="s">
        <v>63</v>
      </c>
      <c r="D319" s="9"/>
      <c r="E319" s="9"/>
      <c r="F319" s="9"/>
      <c r="G319" s="9"/>
      <c r="H319" s="9"/>
      <c r="I319" s="9"/>
      <c r="J319" s="9"/>
      <c r="K319" s="9" t="s">
        <v>32</v>
      </c>
      <c r="L319" s="9" t="s">
        <v>33</v>
      </c>
      <c r="M319" s="9" t="s">
        <v>34</v>
      </c>
      <c r="N319" s="9" t="s">
        <v>35</v>
      </c>
      <c r="O319" s="9" t="s">
        <v>36</v>
      </c>
      <c r="P319" s="9" t="s">
        <v>37</v>
      </c>
      <c r="Q319" s="9" t="s">
        <v>38</v>
      </c>
      <c r="R319" s="9" t="s">
        <v>39</v>
      </c>
    </row>
    <row r="320" customFormat="false" ht="15" hidden="false" customHeight="false" outlineLevel="0" collapsed="false">
      <c r="A320" s="7" t="s">
        <v>22</v>
      </c>
      <c r="B320" s="7" t="s">
        <v>42</v>
      </c>
      <c r="C320" s="10" t="n">
        <f aca="false">$Y$303</f>
        <v>0.13</v>
      </c>
      <c r="K320" s="7" t="str">
        <f aca="false">COMPLEX(1,0)</f>
        <v>1</v>
      </c>
      <c r="L320" s="7" t="str">
        <f aca="false">COMPLEX(-C320,0)</f>
        <v>-0.13</v>
      </c>
      <c r="M320" s="7" t="str">
        <f aca="false">COMPLEX(0,0)</f>
        <v>0</v>
      </c>
      <c r="N320" s="7" t="str">
        <f aca="false">COMPLEX(1,0)</f>
        <v>1</v>
      </c>
      <c r="O320" s="7" t="str">
        <f aca="false">K320</f>
        <v>1</v>
      </c>
      <c r="P320" s="7" t="str">
        <f aca="false">L320</f>
        <v>-0.13</v>
      </c>
      <c r="Q320" s="7" t="str">
        <f aca="false">M320</f>
        <v>0</v>
      </c>
      <c r="R320" s="7" t="str">
        <f aca="false">N320</f>
        <v>1</v>
      </c>
    </row>
    <row r="321" customFormat="false" ht="15" hidden="false" customHeight="false" outlineLevel="0" collapsed="false">
      <c r="A321" s="7" t="s">
        <v>64</v>
      </c>
      <c r="B321" s="7" t="s">
        <v>65</v>
      </c>
      <c r="C321" s="10" t="n">
        <f aca="false">INDEX(Classes!$B$5:$F$9,MATCH(Engine!$C$302,Classes!$A$5:$A$9,0),5)*(N316*1000)</f>
        <v>0</v>
      </c>
      <c r="K321" s="7" t="str">
        <f aca="false">COMPLEX(1,0)</f>
        <v>1</v>
      </c>
      <c r="L321" s="7" t="str">
        <f aca="false">COMPLEX(0,0)</f>
        <v>0</v>
      </c>
      <c r="M321" s="7" t="str">
        <f aca="false">COMPLEX(0,-(2*PI()/($B$2*3600))*C321)</f>
        <v>0</v>
      </c>
      <c r="N321" s="7" t="str">
        <f aca="false">COMPLEX(1,0)</f>
        <v>1</v>
      </c>
      <c r="O321" s="7" t="str">
        <f aca="false">IMSUM(IMPRODUCT(K321,O320),IMPRODUCT(L321,Q320))</f>
        <v>1</v>
      </c>
      <c r="P321" s="7" t="str">
        <f aca="false">IMSUM(IMPRODUCT(K321,P320),IMPRODUCT(L321,R320))</f>
        <v>-0.13</v>
      </c>
      <c r="Q321" s="7" t="str">
        <f aca="false">IMSUM(IMPRODUCT(M321,O320),IMPRODUCT(N321,Q320))</f>
        <v>0</v>
      </c>
      <c r="R321" s="7" t="str">
        <f aca="false">IMSUM(IMPRODUCT(M321,P320),IMPRODUCT(N321,R320))</f>
        <v>1</v>
      </c>
    </row>
    <row r="322" customFormat="false" ht="15" hidden="false" customHeight="false" outlineLevel="0" collapsed="false">
      <c r="A322" s="7" t="s">
        <v>66</v>
      </c>
      <c r="B322" s="7" t="s">
        <v>42</v>
      </c>
      <c r="C322" s="10" t="n">
        <f aca="false">P316/6</f>
        <v>0.770337301587302</v>
      </c>
      <c r="K322" s="7" t="str">
        <f aca="false">COMPLEX(1,0)</f>
        <v>1</v>
      </c>
      <c r="L322" s="7" t="str">
        <f aca="false">COMPLEX(-C322,0)</f>
        <v>-0.770337301587302</v>
      </c>
      <c r="M322" s="7" t="str">
        <f aca="false">COMPLEX(0,0)</f>
        <v>0</v>
      </c>
      <c r="N322" s="7" t="str">
        <f aca="false">COMPLEX(1,0)</f>
        <v>1</v>
      </c>
      <c r="O322" s="7" t="str">
        <f aca="false">IMSUM(IMPRODUCT(K322,O321),IMPRODUCT(L322,Q321))</f>
        <v>1</v>
      </c>
      <c r="P322" s="7" t="str">
        <f aca="false">IMSUM(IMPRODUCT(K322,P321),IMPRODUCT(L322,R321))</f>
        <v>-0.900337301587302</v>
      </c>
      <c r="Q322" s="7" t="str">
        <f aca="false">IMSUM(IMPRODUCT(M322,O321),IMPRODUCT(N322,Q321))</f>
        <v>0</v>
      </c>
      <c r="R322" s="7" t="str">
        <f aca="false">IMSUM(IMPRODUCT(M322,P321),IMPRODUCT(N322,R321))</f>
        <v>1</v>
      </c>
    </row>
    <row r="323" customFormat="false" ht="15" hidden="false" customHeight="false" outlineLevel="0" collapsed="false">
      <c r="A323" s="7" t="s">
        <v>67</v>
      </c>
      <c r="B323" s="7" t="s">
        <v>65</v>
      </c>
      <c r="C323" s="10" t="n">
        <f aca="false">INDEX(Classes!$B$5:$F$9,MATCH(Engine!$C$302,Classes!$A$5:$A$9,0),4)*(N316*1000)</f>
        <v>0</v>
      </c>
      <c r="K323" s="7" t="str">
        <f aca="false">COMPLEX(1,0)</f>
        <v>1</v>
      </c>
      <c r="L323" s="7" t="str">
        <f aca="false">COMPLEX(0,0)</f>
        <v>0</v>
      </c>
      <c r="M323" s="7" t="str">
        <f aca="false">COMPLEX(0,-(2*PI()/($B$2*3600))*C323)</f>
        <v>0</v>
      </c>
      <c r="N323" s="7" t="str">
        <f aca="false">COMPLEX(1,0)</f>
        <v>1</v>
      </c>
      <c r="O323" s="7" t="str">
        <f aca="false">IMSUM(IMPRODUCT(K323,O322),IMPRODUCT(L323,Q322))</f>
        <v>1</v>
      </c>
      <c r="P323" s="7" t="str">
        <f aca="false">IMSUM(IMPRODUCT(K323,P322),IMPRODUCT(L323,R322))</f>
        <v>-0.900337301587302</v>
      </c>
      <c r="Q323" s="7" t="str">
        <f aca="false">IMSUM(IMPRODUCT(M323,O322),IMPRODUCT(N323,Q322))</f>
        <v>0</v>
      </c>
      <c r="R323" s="7" t="str">
        <f aca="false">IMSUM(IMPRODUCT(M323,P322),IMPRODUCT(N323,R322))</f>
        <v>1</v>
      </c>
    </row>
    <row r="324" customFormat="false" ht="15" hidden="false" customHeight="false" outlineLevel="0" collapsed="false">
      <c r="A324" s="7" t="s">
        <v>68</v>
      </c>
      <c r="B324" s="7" t="s">
        <v>42</v>
      </c>
      <c r="C324" s="10" t="n">
        <f aca="false">P316/3</f>
        <v>1.5406746031746</v>
      </c>
      <c r="K324" s="7" t="str">
        <f aca="false">COMPLEX(1,0)</f>
        <v>1</v>
      </c>
      <c r="L324" s="7" t="str">
        <f aca="false">COMPLEX(-C324,0)</f>
        <v>-1.5406746031746</v>
      </c>
      <c r="M324" s="7" t="str">
        <f aca="false">COMPLEX(0,0)</f>
        <v>0</v>
      </c>
      <c r="N324" s="7" t="str">
        <f aca="false">COMPLEX(1,0)</f>
        <v>1</v>
      </c>
      <c r="O324" s="7" t="str">
        <f aca="false">IMSUM(IMPRODUCT(K324,O323),IMPRODUCT(L324,Q323))</f>
        <v>1</v>
      </c>
      <c r="P324" s="7" t="str">
        <f aca="false">IMSUM(IMPRODUCT(K324,P323),IMPRODUCT(L324,R323))</f>
        <v>-2.4410119047619</v>
      </c>
      <c r="Q324" s="7" t="str">
        <f aca="false">IMSUM(IMPRODUCT(M324,O323),IMPRODUCT(N324,Q323))</f>
        <v>0</v>
      </c>
      <c r="R324" s="7" t="str">
        <f aca="false">IMSUM(IMPRODUCT(M324,P323),IMPRODUCT(N324,R323))</f>
        <v>1</v>
      </c>
    </row>
    <row r="325" customFormat="false" ht="15" hidden="false" customHeight="false" outlineLevel="0" collapsed="false">
      <c r="A325" s="7" t="s">
        <v>69</v>
      </c>
      <c r="B325" s="7" t="s">
        <v>65</v>
      </c>
      <c r="C325" s="10" t="n">
        <f aca="false">INDEX(Classes!$B$5:$F$9,MATCH(Engine!$C$302,Classes!$A$5:$A$9,0),3)*(N316*1000)</f>
        <v>390810</v>
      </c>
      <c r="K325" s="7" t="str">
        <f aca="false">COMPLEX(1,0)</f>
        <v>1</v>
      </c>
      <c r="L325" s="7" t="str">
        <f aca="false">COMPLEX(0,0)</f>
        <v>0</v>
      </c>
      <c r="M325" s="7" t="str">
        <f aca="false">COMPLEX(0,-(2*PI()/($B$2*3600))*C325)</f>
        <v>-28.4205052071627i</v>
      </c>
      <c r="N325" s="7" t="str">
        <f aca="false">COMPLEX(1,0)</f>
        <v>1</v>
      </c>
      <c r="O325" s="7" t="str">
        <f aca="false">IMSUM(IMPRODUCT(K325,O324),IMPRODUCT(L325,Q324))</f>
        <v>1</v>
      </c>
      <c r="P325" s="7" t="str">
        <f aca="false">IMSUM(IMPRODUCT(K325,P324),IMPRODUCT(L325,R324))</f>
        <v>-2.4410119047619</v>
      </c>
      <c r="Q325" s="7" t="str">
        <f aca="false">IMSUM(IMPRODUCT(M325,O324),IMPRODUCT(N325,Q324))</f>
        <v>-28.4205052071627i</v>
      </c>
      <c r="R325" s="7" t="str">
        <f aca="false">IMSUM(IMPRODUCT(M325,P324),IMPRODUCT(N325,R324))</f>
        <v>1+69.3747915500317i</v>
      </c>
    </row>
    <row r="326" customFormat="false" ht="15" hidden="false" customHeight="false" outlineLevel="0" collapsed="false">
      <c r="A326" s="7" t="s">
        <v>68</v>
      </c>
      <c r="B326" s="7" t="s">
        <v>42</v>
      </c>
      <c r="C326" s="10" t="n">
        <f aca="false">P316/3</f>
        <v>1.5406746031746</v>
      </c>
      <c r="K326" s="7" t="str">
        <f aca="false">COMPLEX(1,0)</f>
        <v>1</v>
      </c>
      <c r="L326" s="7" t="str">
        <f aca="false">COMPLEX(-C326,0)</f>
        <v>-1.5406746031746</v>
      </c>
      <c r="M326" s="7" t="str">
        <f aca="false">COMPLEX(0,0)</f>
        <v>0</v>
      </c>
      <c r="N326" s="7" t="str">
        <f aca="false">COMPLEX(1,0)</f>
        <v>1</v>
      </c>
      <c r="O326" s="7" t="str">
        <f aca="false">IMSUM(IMPRODUCT(K326,O325),IMPRODUCT(L326,Q325))</f>
        <v>1+43.7867505820671i</v>
      </c>
      <c r="P326" s="7" t="str">
        <f aca="false">IMSUM(IMPRODUCT(K326,P325),IMPRODUCT(L326,R325))</f>
        <v>-3.9816865079365-106.883979441666i</v>
      </c>
      <c r="Q326" s="7" t="str">
        <f aca="false">IMSUM(IMPRODUCT(M326,O325),IMPRODUCT(N326,Q325))</f>
        <v>-28.4205052071627i</v>
      </c>
      <c r="R326" s="7" t="str">
        <f aca="false">IMSUM(IMPRODUCT(M326,P325),IMPRODUCT(N326,R325))</f>
        <v>1+69.3747915500317i</v>
      </c>
    </row>
    <row r="327" customFormat="false" ht="15" hidden="false" customHeight="false" outlineLevel="0" collapsed="false">
      <c r="A327" s="7" t="s">
        <v>70</v>
      </c>
      <c r="B327" s="7" t="s">
        <v>65</v>
      </c>
      <c r="C327" s="10" t="n">
        <f aca="false">INDEX(Classes!$B$5:$F$9,MATCH(Engine!$C$302,Classes!$A$5:$A$9,0),2)*(N316*1000)</f>
        <v>0</v>
      </c>
      <c r="K327" s="7" t="str">
        <f aca="false">COMPLEX(1,0)</f>
        <v>1</v>
      </c>
      <c r="L327" s="7" t="str">
        <f aca="false">COMPLEX(0,0)</f>
        <v>0</v>
      </c>
      <c r="M327" s="7" t="str">
        <f aca="false">COMPLEX(0,-(2*PI()/($B$2*3600))*C327)</f>
        <v>0</v>
      </c>
      <c r="N327" s="7" t="str">
        <f aca="false">COMPLEX(1,0)</f>
        <v>1</v>
      </c>
      <c r="O327" s="7" t="str">
        <f aca="false">IMSUM(IMPRODUCT(K327,O326),IMPRODUCT(L327,Q326))</f>
        <v>1+43.7867505820671i</v>
      </c>
      <c r="P327" s="7" t="str">
        <f aca="false">IMSUM(IMPRODUCT(K327,P326),IMPRODUCT(L327,R326))</f>
        <v>-3.9816865079365-106.883979441666i</v>
      </c>
      <c r="Q327" s="7" t="str">
        <f aca="false">IMSUM(IMPRODUCT(M327,O326),IMPRODUCT(N327,Q326))</f>
        <v>-28.4205052071627i</v>
      </c>
      <c r="R327" s="7" t="str">
        <f aca="false">IMSUM(IMPRODUCT(M327,P326),IMPRODUCT(N327,R326))</f>
        <v>1+69.3747915500317i</v>
      </c>
    </row>
    <row r="328" customFormat="false" ht="15" hidden="false" customHeight="false" outlineLevel="0" collapsed="false">
      <c r="A328" s="7" t="s">
        <v>66</v>
      </c>
      <c r="B328" s="7" t="s">
        <v>42</v>
      </c>
      <c r="C328" s="10" t="n">
        <f aca="false">P316/6</f>
        <v>0.770337301587302</v>
      </c>
      <c r="K328" s="7" t="str">
        <f aca="false">COMPLEX(1,0)</f>
        <v>1</v>
      </c>
      <c r="L328" s="7" t="str">
        <f aca="false">COMPLEX(-C328,0)</f>
        <v>-0.770337301587302</v>
      </c>
      <c r="M328" s="7" t="str">
        <f aca="false">COMPLEX(0,0)</f>
        <v>0</v>
      </c>
      <c r="N328" s="7" t="str">
        <f aca="false">COMPLEX(1,0)</f>
        <v>1</v>
      </c>
      <c r="O328" s="7" t="str">
        <f aca="false">IMSUM(IMPRODUCT(K328,O327),IMPRODUCT(L328,Q327))</f>
        <v>1+65.6801258731007i</v>
      </c>
      <c r="P328" s="7" t="str">
        <f aca="false">IMSUM(IMPRODUCT(K328,P327),IMPRODUCT(L328,R327))</f>
        <v>-4.7520238095238-160.325969162499i</v>
      </c>
      <c r="Q328" s="7" t="str">
        <f aca="false">IMSUM(IMPRODUCT(M328,O327),IMPRODUCT(N328,Q327))</f>
        <v>-28.4205052071627i</v>
      </c>
      <c r="R328" s="7" t="str">
        <f aca="false">IMSUM(IMPRODUCT(M328,P327),IMPRODUCT(N328,R327))</f>
        <v>1+69.3747915500317i</v>
      </c>
    </row>
    <row r="329" customFormat="false" ht="15" hidden="false" customHeight="false" outlineLevel="0" collapsed="false">
      <c r="A329" s="7" t="s">
        <v>71</v>
      </c>
      <c r="B329" s="7" t="s">
        <v>65</v>
      </c>
      <c r="C329" s="10" t="n">
        <f aca="false">INDEX(Classes!$B$5:$F$9,MATCH(Engine!$C$302,Classes!$A$5:$A$9,0),1)*(N316*1000)</f>
        <v>0</v>
      </c>
      <c r="K329" s="7" t="str">
        <f aca="false">COMPLEX(1,0)</f>
        <v>1</v>
      </c>
      <c r="L329" s="7" t="str">
        <f aca="false">COMPLEX(0,0)</f>
        <v>0</v>
      </c>
      <c r="M329" s="7" t="str">
        <f aca="false">COMPLEX(0,-(2*PI()/($B$2*3600))*C329)</f>
        <v>0</v>
      </c>
      <c r="N329" s="7" t="str">
        <f aca="false">COMPLEX(1,0)</f>
        <v>1</v>
      </c>
      <c r="O329" s="7" t="str">
        <f aca="false">IMSUM(IMPRODUCT(K329,O328),IMPRODUCT(L329,Q328))</f>
        <v>1+65.6801258731007i</v>
      </c>
      <c r="P329" s="7" t="str">
        <f aca="false">IMSUM(IMPRODUCT(K329,P328),IMPRODUCT(L329,R328))</f>
        <v>-4.7520238095238-160.325969162499i</v>
      </c>
      <c r="Q329" s="7" t="str">
        <f aca="false">IMSUM(IMPRODUCT(M329,O328),IMPRODUCT(N329,Q328))</f>
        <v>-28.4205052071627i</v>
      </c>
      <c r="R329" s="7" t="str">
        <f aca="false">IMSUM(IMPRODUCT(M329,P328),IMPRODUCT(N329,R328))</f>
        <v>1+69.3747915500317i</v>
      </c>
    </row>
    <row r="330" customFormat="false" ht="15" hidden="false" customHeight="false" outlineLevel="0" collapsed="false">
      <c r="A330" s="7" t="s">
        <v>72</v>
      </c>
      <c r="B330" s="7" t="s">
        <v>73</v>
      </c>
      <c r="K330" s="7" t="str">
        <f aca="false">K314</f>
        <v>1</v>
      </c>
      <c r="L330" s="7" t="str">
        <f aca="false">L314</f>
        <v>-0</v>
      </c>
      <c r="M330" s="7" t="str">
        <f aca="false">M314</f>
        <v>0</v>
      </c>
      <c r="N330" s="7" t="str">
        <f aca="false">N314</f>
        <v>1</v>
      </c>
      <c r="O330" s="7" t="str">
        <f aca="false">IMSUM(IMPRODUCT(K330,O329),IMPRODUCT(L330,Q329))</f>
        <v>1+65.6801258731007i</v>
      </c>
      <c r="P330" s="7" t="str">
        <f aca="false">IMSUM(IMPRODUCT(K330,P329),IMPRODUCT(L330,R329))</f>
        <v>-4.7520238095238-160.325969162499i</v>
      </c>
      <c r="Q330" s="7" t="str">
        <f aca="false">IMSUM(IMPRODUCT(M330,O329),IMPRODUCT(N330,Q329))</f>
        <v>-28.4205052071627i</v>
      </c>
      <c r="R330" s="7" t="str">
        <f aca="false">IMSUM(IMPRODUCT(M330,P329),IMPRODUCT(N330,R329))</f>
        <v>1+69.3747915500317i</v>
      </c>
    </row>
    <row r="331" customFormat="false" ht="15" hidden="false" customHeight="false" outlineLevel="0" collapsed="false">
      <c r="A331" s="7" t="s">
        <v>52</v>
      </c>
      <c r="B331" s="7" t="s">
        <v>73</v>
      </c>
      <c r="K331" s="7" t="str">
        <f aca="false">K315</f>
        <v>1</v>
      </c>
      <c r="L331" s="7" t="str">
        <f aca="false">L315</f>
        <v>-0.04</v>
      </c>
      <c r="M331" s="7" t="str">
        <f aca="false">M315</f>
        <v>0</v>
      </c>
      <c r="N331" s="7" t="str">
        <f aca="false">N315</f>
        <v>1</v>
      </c>
      <c r="O331" s="7" t="str">
        <f aca="false">IMSUM(IMPRODUCT(K331,O330),IMPRODUCT(L331,Q330))</f>
        <v>1+66.8169460813872i</v>
      </c>
      <c r="P331" s="7" t="str">
        <f aca="false">IMSUM(IMPRODUCT(K331,P330),IMPRODUCT(L331,R330))</f>
        <v>-4.7920238095238-163.1009608245i</v>
      </c>
      <c r="Q331" s="7" t="str">
        <f aca="false">IMSUM(IMPRODUCT(M331,O330),IMPRODUCT(N331,Q330))</f>
        <v>-28.4205052071627i</v>
      </c>
      <c r="R331" s="7" t="str">
        <f aca="false">IMSUM(IMPRODUCT(M331,P330),IMPRODUCT(N331,R330))</f>
        <v>1+69.3747915500317i</v>
      </c>
    </row>
    <row r="332" customFormat="false" ht="15" hidden="false" customHeight="false" outlineLevel="0" collapsed="false">
      <c r="A332" s="9" t="s">
        <v>74</v>
      </c>
      <c r="B332" s="13" t="n">
        <f aca="false">IMABS(IMDIV(IMPRODUCT(O331,COMPLEX(-1,0)),P331))</f>
        <v>0.409535325839835</v>
      </c>
    </row>
    <row r="335" customFormat="false" ht="15" hidden="false" customHeight="false" outlineLevel="0" collapsed="false">
      <c r="A335" s="4" t="s">
        <v>102</v>
      </c>
      <c r="B335" s="9" t="s">
        <v>18</v>
      </c>
      <c r="C335" s="7" t="str">
        <f aca="false">INDEX(Library!$F$5:$F$34,MATCH(A335,Library!$A$5:$A$34,0))</f>
        <v>D</v>
      </c>
    </row>
    <row r="336" customFormat="false" ht="15" hidden="false" customHeight="false" outlineLevel="0" collapsed="false">
      <c r="A336" s="4" t="s">
        <v>103</v>
      </c>
      <c r="T336" s="9" t="s">
        <v>20</v>
      </c>
      <c r="U336" s="7" t="n">
        <f aca="false">MATCH($A$335,Library!$A$5:$A$34,0)</f>
        <v>11</v>
      </c>
      <c r="V336" s="9" t="s">
        <v>21</v>
      </c>
      <c r="W336" s="7" t="str">
        <f aca="false">INDEX(Library!$D$5:$D$34,$U$336)</f>
        <v>ext</v>
      </c>
      <c r="X336" s="9" t="s">
        <v>22</v>
      </c>
      <c r="Y336" s="7" t="n">
        <f aca="false">INDEX(Library!$E$5:$E$34,$U$336)</f>
        <v>0.13</v>
      </c>
    </row>
    <row r="337" customFormat="false" ht="15" hidden="false" customHeight="false" outlineLevel="0" collapsed="false">
      <c r="A337" s="9"/>
      <c r="B337" s="9" t="s">
        <v>23</v>
      </c>
      <c r="C337" s="9" t="s">
        <v>24</v>
      </c>
      <c r="D337" s="9" t="s">
        <v>25</v>
      </c>
      <c r="E337" s="9" t="s">
        <v>26</v>
      </c>
      <c r="F337" s="9" t="s">
        <v>27</v>
      </c>
      <c r="G337" s="9" t="s">
        <v>28</v>
      </c>
      <c r="H337" s="9" t="s">
        <v>29</v>
      </c>
      <c r="I337" s="9" t="s">
        <v>30</v>
      </c>
      <c r="J337" s="9" t="s">
        <v>31</v>
      </c>
      <c r="K337" s="9" t="s">
        <v>32</v>
      </c>
      <c r="L337" s="9" t="s">
        <v>33</v>
      </c>
      <c r="M337" s="9" t="s">
        <v>34</v>
      </c>
      <c r="N337" s="9" t="s">
        <v>35</v>
      </c>
      <c r="O337" s="9" t="s">
        <v>36</v>
      </c>
      <c r="P337" s="9" t="s">
        <v>37</v>
      </c>
      <c r="Q337" s="9" t="s">
        <v>38</v>
      </c>
      <c r="R337" s="9" t="s">
        <v>39</v>
      </c>
      <c r="S337" s="9" t="s">
        <v>40</v>
      </c>
      <c r="T337" s="9" t="s">
        <v>41</v>
      </c>
    </row>
    <row r="338" customFormat="false" ht="15" hidden="false" customHeight="false" outlineLevel="0" collapsed="false">
      <c r="A338" s="7" t="s">
        <v>22</v>
      </c>
      <c r="B338" s="7" t="s">
        <v>42</v>
      </c>
      <c r="H338" s="10" t="n">
        <f aca="false">$Y$336</f>
        <v>0.13</v>
      </c>
      <c r="I338" s="11" t="n">
        <f aca="false">IF(B338="mass",SQRT(E338*($B$2*3600)/(PI()*F338*G338)),0)</f>
        <v>0</v>
      </c>
      <c r="J338" s="10" t="n">
        <f aca="false">IF(B338="mass",D338/I338,0)</f>
        <v>0</v>
      </c>
      <c r="K338" s="7" t="str">
        <f aca="false">IF(B338="mass",COMPLEX(COSH(J338)*COS(J338),SINH(J338)*SIN(J338)),COMPLEX(1,0))</f>
        <v>1</v>
      </c>
      <c r="L338" s="7" t="str">
        <f aca="false">IF(B338="mass",COMPLEX(-I338/(2*E338)*(SINH(J338)*COS(J338)+COSH(J338)*SIN(J338)),-I338/(2*E338)*(COSH(J338)*SIN(J338)-SINH(J338)*COS(J338))),COMPLEX(-H338,0))</f>
        <v>-0.13</v>
      </c>
      <c r="M338" s="7" t="str">
        <f aca="false">IF(B338="mass",COMPLEX(-E338/I338*(SINH(J338)*COS(J338)-COSH(J338)*SIN(J338)),-E338/I338*(SINH(J338)*COS(J338)+COSH(J338)*SIN(J338))),COMPLEX(0,0))</f>
        <v>0</v>
      </c>
      <c r="N338" s="7" t="str">
        <f aca="false">K338</f>
        <v>1</v>
      </c>
      <c r="O338" s="7" t="str">
        <f aca="false">K338</f>
        <v>1</v>
      </c>
      <c r="P338" s="7" t="str">
        <f aca="false">L338</f>
        <v>-0.13</v>
      </c>
      <c r="Q338" s="7" t="str">
        <f aca="false">M338</f>
        <v>0</v>
      </c>
      <c r="R338" s="7" t="str">
        <f aca="false">N338</f>
        <v>1</v>
      </c>
      <c r="S338" s="10" t="n">
        <f aca="false">IF(B338="mass",D338/E338,H338)</f>
        <v>0.13</v>
      </c>
      <c r="T338" s="12" t="n">
        <f aca="false">IF(B338="mass",F338*G338*D338,0)</f>
        <v>0</v>
      </c>
    </row>
    <row r="339" customFormat="false" ht="15" hidden="false" customHeight="false" outlineLevel="0" collapsed="false">
      <c r="A339" s="7" t="s">
        <v>43</v>
      </c>
      <c r="B339" s="7" t="str">
        <f aca="false">IF(C339="","none",IF(C339="Cavity","res","mass"))</f>
        <v>mass</v>
      </c>
      <c r="C339" s="7" t="str">
        <f aca="false">IF(INDEX(Library!$G$5:$G$34,$U$336)="","",INDEX(Library!$G$5:$G$34,$U$336))</f>
        <v>gypsum plaster</v>
      </c>
      <c r="D339" s="11" t="n">
        <f aca="false">IF(B339="mass",INDEX(Library!$H$5:$H$34,$U$336)/1000,0)</f>
        <v>0.013</v>
      </c>
      <c r="E339" s="7" t="n">
        <f aca="false">IF(B339="mass",INDEX(Materials!$B$5:$B$28,MATCH(C339,Materials!$A$5:$A$28,0)),0)</f>
        <v>0.5</v>
      </c>
      <c r="F339" s="7" t="n">
        <f aca="false">IF(B339="mass",INDEX(Materials!$C$5:$C$28,MATCH(C339,Materials!$A$5:$A$28,0)),0)</f>
        <v>1300</v>
      </c>
      <c r="G339" s="7" t="n">
        <f aca="false">IF(B339="mass",INDEX(Materials!$D$5:$D$28,MATCH(C339,Materials!$A$5:$A$28,0)),0)</f>
        <v>1000</v>
      </c>
      <c r="H339" s="10" t="n">
        <f aca="false">IF(B339="res",INDEX(Library!$H$5:$H$34,$U$336),0)</f>
        <v>0</v>
      </c>
      <c r="I339" s="11" t="n">
        <f aca="false">IF(B339="mass",SQRT(E339*($B$2*3600)/(PI()*F339*G339)),0)</f>
        <v>0.102847860316323</v>
      </c>
      <c r="J339" s="10" t="n">
        <f aca="false">IF(B339="mass",D339/I339,0)</f>
        <v>0.126400296126887</v>
      </c>
      <c r="K339" s="7" t="str">
        <f aca="false">IF(B339="mass",COMPLEX(COSH(J339)*COS(J339),SINH(J339)*SIN(J339)),COMPLEX(1,0))</f>
        <v>0.999957455752033+0.0159769895455509i</v>
      </c>
      <c r="L339" s="7" t="str">
        <f aca="false">IF(B339="mass",COMPLEX(-I339/(2*E339)*(SINH(J339)*COS(J339)+COSH(J339)*SIN(J339)),-I339/(2*E339)*(COSH(J339)*SIN(J339)-SINH(J339)*COS(J339))),COMPLEX(-H339,0))</f>
        <v>-0.0259997787698508-0.00013846746714729i</v>
      </c>
      <c r="M339" s="7" t="str">
        <f aca="false">IF(B339="mass",COMPLEX(-E339/I339*(SINH(J339)*COS(J339)-COSH(J339)*SIN(J339)),-E339/I339*(SINH(J339)*COS(J339)+COSH(J339)*SIN(J339))),COMPLEX(0,0))</f>
        <v>0.00654526494000515-1.22899222421088i</v>
      </c>
      <c r="N339" s="7" t="str">
        <f aca="false">K339</f>
        <v>0.999957455752033+0.0159769895455509i</v>
      </c>
      <c r="O339" s="7" t="str">
        <f aca="false">IMSUM(IMPRODUCT(K339,O338),IMPRODUCT(L339,Q338))</f>
        <v>0.999957455752033+0.0159769895455509i</v>
      </c>
      <c r="P339" s="7" t="str">
        <f aca="false">IMSUM(IMPRODUCT(K339,P338),IMPRODUCT(L339,R338))</f>
        <v>-0.155994248017615-0.00221547610806891i</v>
      </c>
      <c r="Q339" s="7" t="str">
        <f aca="false">IMSUM(IMPRODUCT(M339,O338),IMPRODUCT(N339,Q338))</f>
        <v>0.00654526494000515-1.22899222421088i</v>
      </c>
      <c r="R339" s="7" t="str">
        <f aca="false">IMSUM(IMPRODUCT(M339,P338),IMPRODUCT(N339,R338))</f>
        <v>0.999106571309832+0.175745978692965i</v>
      </c>
      <c r="S339" s="10" t="n">
        <f aca="false">IF(B339="mass",D339/E339,H339)</f>
        <v>0.026</v>
      </c>
      <c r="T339" s="12" t="n">
        <f aca="false">IF(B339="mass",F339*G339*D339,0)</f>
        <v>16900</v>
      </c>
    </row>
    <row r="340" customFormat="false" ht="15" hidden="false" customHeight="false" outlineLevel="0" collapsed="false">
      <c r="A340" s="7" t="s">
        <v>44</v>
      </c>
      <c r="B340" s="7" t="str">
        <f aca="false">IF(C340="","none",IF(C340="Cavity","res","mass"))</f>
        <v>mass</v>
      </c>
      <c r="C340" s="7" t="str">
        <f aca="false">IF(INDEX(Library!$I$5:$I$34,$U$336)="","",INDEX(Library!$I$5:$I$34,$U$336))</f>
        <v>brick</v>
      </c>
      <c r="D340" s="11" t="n">
        <f aca="false">IF(B340="mass",INDEX(Library!$J$5:$J$34,$U$336)/1000,0)</f>
        <v>0.215</v>
      </c>
      <c r="E340" s="7" t="n">
        <f aca="false">IF(B340="mass",INDEX(Materials!$B$5:$B$28,MATCH(C340,Materials!$A$5:$A$28,0)),0)</f>
        <v>0.77</v>
      </c>
      <c r="F340" s="7" t="n">
        <f aca="false">IF(B340="mass",INDEX(Materials!$C$5:$C$28,MATCH(C340,Materials!$A$5:$A$28,0)),0)</f>
        <v>1700</v>
      </c>
      <c r="G340" s="7" t="n">
        <f aca="false">IF(B340="mass",INDEX(Materials!$D$5:$D$28,MATCH(C340,Materials!$A$5:$A$28,0)),0)</f>
        <v>800</v>
      </c>
      <c r="H340" s="10" t="n">
        <f aca="false">IF(B340="res",INDEX(Library!$J$5:$J$34,$U$336),0)</f>
        <v>0</v>
      </c>
      <c r="I340" s="11" t="n">
        <f aca="false">IF(B340="mass",SQRT(E340*($B$2*3600)/(PI()*F340*G340)),0)</f>
        <v>0.12478369552018</v>
      </c>
      <c r="J340" s="10" t="n">
        <f aca="false">IF(B340="mass",D340/I340,0)</f>
        <v>1.72298150895227</v>
      </c>
      <c r="K340" s="7" t="str">
        <f aca="false">IF(B340="mass",COMPLEX(COSH(J340)*COS(J340),SINH(J340)*SIN(J340)),COMPLEX(1,0))</f>
        <v>-0.438099471725514+2.67999813033158i</v>
      </c>
      <c r="L340" s="7" t="str">
        <f aca="false">IF(B340="mass",COMPLEX(-I340/(2*E340)*(SINH(J340)*COS(J340)+COSH(J340)*SIN(J340)),-I340/(2*E340)*(COSH(J340)*SIN(J340)-SINH(J340)*COS(J340))),COMPLEX(-H340,0))</f>
        <v>-0.198149506677515-0.264760362935957i</v>
      </c>
      <c r="M340" s="7" t="str">
        <f aca="false">IF(B340="mass",COMPLEX(-E340/I340*(SINH(J340)*COS(J340)-COSH(J340)*SIN(J340)),-E340/I340*(SINH(J340)*COS(J340)+COSH(J340)*SIN(J340))),COMPLEX(0,0))</f>
        <v>20.1627018038932-15.0899831508906i</v>
      </c>
      <c r="N340" s="7" t="str">
        <f aca="false">K340</f>
        <v>-0.438099471725514+2.67999813033158i</v>
      </c>
      <c r="O340" s="7" t="str">
        <f aca="false">IMSUM(IMPRODUCT(K340,O339),IMPRODUCT(L340,Q339))</f>
        <v>-0.807584503569835+2.91467587736376i</v>
      </c>
      <c r="P340" s="7" t="str">
        <f aca="false">IMSUM(IMPRODUCT(K340,P339),IMPRODUCT(L340,R339))</f>
        <v>-0.0771634356438671-0.716441491527383i</v>
      </c>
      <c r="Q340" s="7" t="str">
        <f aca="false">IMSUM(IMPRODUCT(M340,O339),IMPRODUCT(N340,Q339))</f>
        <v>23.693765885917-14.2112397409914i</v>
      </c>
      <c r="R340" s="7" t="str">
        <f aca="false">IMSUM(IMPRODUCT(M340,P339),IMPRODUCT(N340,R339))</f>
        <v>-4.08740395844246+4.90989011279009i</v>
      </c>
      <c r="S340" s="10" t="n">
        <f aca="false">IF(B340="mass",D340/E340,H340)</f>
        <v>0.279220779220779</v>
      </c>
      <c r="T340" s="12" t="n">
        <f aca="false">IF(B340="mass",F340*G340*D340,0)</f>
        <v>292400</v>
      </c>
    </row>
    <row r="341" customFormat="false" ht="15" hidden="false" customHeight="false" outlineLevel="0" collapsed="false">
      <c r="A341" s="7" t="s">
        <v>45</v>
      </c>
      <c r="B341" s="7" t="str">
        <f aca="false">IF(C341="","none",IF(C341="Cavity","res","mass"))</f>
        <v>none</v>
      </c>
      <c r="C341" s="7" t="str">
        <f aca="false">IF(INDEX(Library!$K$5:$K$34,$U$336)="","",INDEX(Library!$K$5:$K$34,$U$336))</f>
        <v/>
      </c>
      <c r="D341" s="11" t="n">
        <f aca="false">IF(B341="mass",INDEX(Library!$L$5:$L$34,$U$336)/1000,0)</f>
        <v>0</v>
      </c>
      <c r="E341" s="7" t="n">
        <f aca="false">IF(B341="mass",INDEX(Materials!$B$5:$B$28,MATCH(C341,Materials!$A$5:$A$28,0)),0)</f>
        <v>0</v>
      </c>
      <c r="F341" s="7" t="n">
        <f aca="false">IF(B341="mass",INDEX(Materials!$C$5:$C$28,MATCH(C341,Materials!$A$5:$A$28,0)),0)</f>
        <v>0</v>
      </c>
      <c r="G341" s="7" t="n">
        <f aca="false">IF(B341="mass",INDEX(Materials!$D$5:$D$28,MATCH(C341,Materials!$A$5:$A$28,0)),0)</f>
        <v>0</v>
      </c>
      <c r="H341" s="10" t="n">
        <f aca="false">IF(B341="res",INDEX(Library!$L$5:$L$34,$U$336),0)</f>
        <v>0</v>
      </c>
      <c r="I341" s="11" t="n">
        <f aca="false">IF(B341="mass",SQRT(E341*($B$2*3600)/(PI()*F341*G341)),0)</f>
        <v>0</v>
      </c>
      <c r="J341" s="10" t="n">
        <f aca="false">IF(B341="mass",D341/I341,0)</f>
        <v>0</v>
      </c>
      <c r="K341" s="7" t="str">
        <f aca="false">IF(B341="mass",COMPLEX(COSH(J341)*COS(J341),SINH(J341)*SIN(J341)),COMPLEX(1,0))</f>
        <v>1</v>
      </c>
      <c r="L341" s="7" t="str">
        <f aca="false">IF(B341="mass",COMPLEX(-I341/(2*E341)*(SINH(J341)*COS(J341)+COSH(J341)*SIN(J341)),-I341/(2*E341)*(COSH(J341)*SIN(J341)-SINH(J341)*COS(J341))),COMPLEX(-H341,0))</f>
        <v>-0</v>
      </c>
      <c r="M341" s="7" t="str">
        <f aca="false">IF(B341="mass",COMPLEX(-E341/I341*(SINH(J341)*COS(J341)-COSH(J341)*SIN(J341)),-E341/I341*(SINH(J341)*COS(J341)+COSH(J341)*SIN(J341))),COMPLEX(0,0))</f>
        <v>0</v>
      </c>
      <c r="N341" s="7" t="str">
        <f aca="false">K341</f>
        <v>1</v>
      </c>
      <c r="O341" s="7" t="str">
        <f aca="false">IMSUM(IMPRODUCT(K341,O340),IMPRODUCT(L341,Q340))</f>
        <v>-0.807584503569835+2.91467587736376i</v>
      </c>
      <c r="P341" s="7" t="str">
        <f aca="false">IMSUM(IMPRODUCT(K341,P340),IMPRODUCT(L341,R340))</f>
        <v>-0.0771634356438671-0.716441491527383i</v>
      </c>
      <c r="Q341" s="7" t="str">
        <f aca="false">IMSUM(IMPRODUCT(M341,O340),IMPRODUCT(N341,Q340))</f>
        <v>23.693765885917-14.2112397409914i</v>
      </c>
      <c r="R341" s="7" t="str">
        <f aca="false">IMSUM(IMPRODUCT(M341,P340),IMPRODUCT(N341,R340))</f>
        <v>-4.08740395844246+4.90989011279009i</v>
      </c>
      <c r="S341" s="10" t="n">
        <f aca="false">IF(B341="mass",D341/E341,H341)</f>
        <v>0</v>
      </c>
      <c r="T341" s="12" t="n">
        <f aca="false">IF(B341="mass",F341*G341*D341,0)</f>
        <v>0</v>
      </c>
    </row>
    <row r="342" customFormat="false" ht="15" hidden="false" customHeight="false" outlineLevel="0" collapsed="false">
      <c r="A342" s="7" t="s">
        <v>46</v>
      </c>
      <c r="B342" s="7" t="str">
        <f aca="false">IF(C342="","none",IF(C342="Cavity","res","mass"))</f>
        <v>none</v>
      </c>
      <c r="C342" s="7" t="str">
        <f aca="false">IF(INDEX(Library!$M$5:$M$34,$U$336)="","",INDEX(Library!$M$5:$M$34,$U$336))</f>
        <v/>
      </c>
      <c r="D342" s="11" t="n">
        <f aca="false">IF(B342="mass",INDEX(Library!$N$5:$N$34,$U$336)/1000,0)</f>
        <v>0</v>
      </c>
      <c r="E342" s="7" t="n">
        <f aca="false">IF(B342="mass",INDEX(Materials!$B$5:$B$28,MATCH(C342,Materials!$A$5:$A$28,0)),0)</f>
        <v>0</v>
      </c>
      <c r="F342" s="7" t="n">
        <f aca="false">IF(B342="mass",INDEX(Materials!$C$5:$C$28,MATCH(C342,Materials!$A$5:$A$28,0)),0)</f>
        <v>0</v>
      </c>
      <c r="G342" s="7" t="n">
        <f aca="false">IF(B342="mass",INDEX(Materials!$D$5:$D$28,MATCH(C342,Materials!$A$5:$A$28,0)),0)</f>
        <v>0</v>
      </c>
      <c r="H342" s="10" t="n">
        <f aca="false">IF(B342="res",INDEX(Library!$N$5:$N$34,$U$336),0)</f>
        <v>0</v>
      </c>
      <c r="I342" s="11" t="n">
        <f aca="false">IF(B342="mass",SQRT(E342*($B$2*3600)/(PI()*F342*G342)),0)</f>
        <v>0</v>
      </c>
      <c r="J342" s="10" t="n">
        <f aca="false">IF(B342="mass",D342/I342,0)</f>
        <v>0</v>
      </c>
      <c r="K342" s="7" t="str">
        <f aca="false">IF(B342="mass",COMPLEX(COSH(J342)*COS(J342),SINH(J342)*SIN(J342)),COMPLEX(1,0))</f>
        <v>1</v>
      </c>
      <c r="L342" s="7" t="str">
        <f aca="false">IF(B342="mass",COMPLEX(-I342/(2*E342)*(SINH(J342)*COS(J342)+COSH(J342)*SIN(J342)),-I342/(2*E342)*(COSH(J342)*SIN(J342)-SINH(J342)*COS(J342))),COMPLEX(-H342,0))</f>
        <v>-0</v>
      </c>
      <c r="M342" s="7" t="str">
        <f aca="false">IF(B342="mass",COMPLEX(-E342/I342*(SINH(J342)*COS(J342)-COSH(J342)*SIN(J342)),-E342/I342*(SINH(J342)*COS(J342)+COSH(J342)*SIN(J342))),COMPLEX(0,0))</f>
        <v>0</v>
      </c>
      <c r="N342" s="7" t="str">
        <f aca="false">K342</f>
        <v>1</v>
      </c>
      <c r="O342" s="7" t="str">
        <f aca="false">IMSUM(IMPRODUCT(K342,O341),IMPRODUCT(L342,Q341))</f>
        <v>-0.807584503569835+2.91467587736376i</v>
      </c>
      <c r="P342" s="7" t="str">
        <f aca="false">IMSUM(IMPRODUCT(K342,P341),IMPRODUCT(L342,R341))</f>
        <v>-0.0771634356438671-0.716441491527383i</v>
      </c>
      <c r="Q342" s="7" t="str">
        <f aca="false">IMSUM(IMPRODUCT(M342,O341),IMPRODUCT(N342,Q341))</f>
        <v>23.693765885917-14.2112397409914i</v>
      </c>
      <c r="R342" s="7" t="str">
        <f aca="false">IMSUM(IMPRODUCT(M342,P341),IMPRODUCT(N342,R341))</f>
        <v>-4.08740395844246+4.90989011279009i</v>
      </c>
      <c r="S342" s="10" t="n">
        <f aca="false">IF(B342="mass",D342/E342,H342)</f>
        <v>0</v>
      </c>
      <c r="T342" s="12" t="n">
        <f aca="false">IF(B342="mass",F342*G342*D342,0)</f>
        <v>0</v>
      </c>
    </row>
    <row r="343" customFormat="false" ht="15" hidden="false" customHeight="false" outlineLevel="0" collapsed="false">
      <c r="A343" s="7" t="s">
        <v>47</v>
      </c>
      <c r="B343" s="7" t="str">
        <f aca="false">IF(C343="","none",IF(C343="Cavity","res","mass"))</f>
        <v>none</v>
      </c>
      <c r="C343" s="7" t="str">
        <f aca="false">IF(INDEX(Library!$O$5:$O$34,$U$336)="","",INDEX(Library!$O$5:$O$34,$U$336))</f>
        <v/>
      </c>
      <c r="D343" s="11" t="n">
        <f aca="false">IF(B343="mass",INDEX(Library!$P$5:$P$34,$U$336)/1000,0)</f>
        <v>0</v>
      </c>
      <c r="E343" s="7" t="n">
        <f aca="false">IF(B343="mass",INDEX(Materials!$B$5:$B$28,MATCH(C343,Materials!$A$5:$A$28,0)),0)</f>
        <v>0</v>
      </c>
      <c r="F343" s="7" t="n">
        <f aca="false">IF(B343="mass",INDEX(Materials!$C$5:$C$28,MATCH(C343,Materials!$A$5:$A$28,0)),0)</f>
        <v>0</v>
      </c>
      <c r="G343" s="7" t="n">
        <f aca="false">IF(B343="mass",INDEX(Materials!$D$5:$D$28,MATCH(C343,Materials!$A$5:$A$28,0)),0)</f>
        <v>0</v>
      </c>
      <c r="H343" s="10" t="n">
        <f aca="false">IF(B343="res",INDEX(Library!$P$5:$P$34,$U$336),0)</f>
        <v>0</v>
      </c>
      <c r="I343" s="11" t="n">
        <f aca="false">IF(B343="mass",SQRT(E343*($B$2*3600)/(PI()*F343*G343)),0)</f>
        <v>0</v>
      </c>
      <c r="J343" s="10" t="n">
        <f aca="false">IF(B343="mass",D343/I343,0)</f>
        <v>0</v>
      </c>
      <c r="K343" s="7" t="str">
        <f aca="false">IF(B343="mass",COMPLEX(COSH(J343)*COS(J343),SINH(J343)*SIN(J343)),COMPLEX(1,0))</f>
        <v>1</v>
      </c>
      <c r="L343" s="7" t="str">
        <f aca="false">IF(B343="mass",COMPLEX(-I343/(2*E343)*(SINH(J343)*COS(J343)+COSH(J343)*SIN(J343)),-I343/(2*E343)*(COSH(J343)*SIN(J343)-SINH(J343)*COS(J343))),COMPLEX(-H343,0))</f>
        <v>-0</v>
      </c>
      <c r="M343" s="7" t="str">
        <f aca="false">IF(B343="mass",COMPLEX(-E343/I343*(SINH(J343)*COS(J343)-COSH(J343)*SIN(J343)),-E343/I343*(SINH(J343)*COS(J343)+COSH(J343)*SIN(J343))),COMPLEX(0,0))</f>
        <v>0</v>
      </c>
      <c r="N343" s="7" t="str">
        <f aca="false">K343</f>
        <v>1</v>
      </c>
      <c r="O343" s="7" t="str">
        <f aca="false">IMSUM(IMPRODUCT(K343,O342),IMPRODUCT(L343,Q342))</f>
        <v>-0.807584503569835+2.91467587736376i</v>
      </c>
      <c r="P343" s="7" t="str">
        <f aca="false">IMSUM(IMPRODUCT(K343,P342),IMPRODUCT(L343,R342))</f>
        <v>-0.0771634356438671-0.716441491527383i</v>
      </c>
      <c r="Q343" s="7" t="str">
        <f aca="false">IMSUM(IMPRODUCT(M343,O342),IMPRODUCT(N343,Q342))</f>
        <v>23.693765885917-14.2112397409914i</v>
      </c>
      <c r="R343" s="7" t="str">
        <f aca="false">IMSUM(IMPRODUCT(M343,P342),IMPRODUCT(N343,R342))</f>
        <v>-4.08740395844246+4.90989011279009i</v>
      </c>
      <c r="S343" s="10" t="n">
        <f aca="false">IF(B343="mass",D343/E343,H343)</f>
        <v>0</v>
      </c>
      <c r="T343" s="12" t="n">
        <f aca="false">IF(B343="mass",F343*G343*D343,0)</f>
        <v>0</v>
      </c>
    </row>
    <row r="344" customFormat="false" ht="15" hidden="false" customHeight="false" outlineLevel="0" collapsed="false">
      <c r="A344" s="7" t="s">
        <v>48</v>
      </c>
      <c r="B344" s="7" t="str">
        <f aca="false">IF(C344="","none",IF(C344="Cavity","res","mass"))</f>
        <v>none</v>
      </c>
      <c r="C344" s="7" t="str">
        <f aca="false">IF(INDEX(Library!$Q$5:$Q$34,$U$336)="","",INDEX(Library!$Q$5:$Q$34,$U$336))</f>
        <v/>
      </c>
      <c r="D344" s="11" t="n">
        <f aca="false">IF(B344="mass",INDEX(Library!$R$5:$R$34,$U$336)/1000,0)</f>
        <v>0</v>
      </c>
      <c r="E344" s="7" t="n">
        <f aca="false">IF(B344="mass",INDEX(Materials!$B$5:$B$28,MATCH(C344,Materials!$A$5:$A$28,0)),0)</f>
        <v>0</v>
      </c>
      <c r="F344" s="7" t="n">
        <f aca="false">IF(B344="mass",INDEX(Materials!$C$5:$C$28,MATCH(C344,Materials!$A$5:$A$28,0)),0)</f>
        <v>0</v>
      </c>
      <c r="G344" s="7" t="n">
        <f aca="false">IF(B344="mass",INDEX(Materials!$D$5:$D$28,MATCH(C344,Materials!$A$5:$A$28,0)),0)</f>
        <v>0</v>
      </c>
      <c r="H344" s="10" t="n">
        <f aca="false">IF(B344="res",INDEX(Library!$R$5:$R$34,$U$336),0)</f>
        <v>0</v>
      </c>
      <c r="I344" s="11" t="n">
        <f aca="false">IF(B344="mass",SQRT(E344*($B$2*3600)/(PI()*F344*G344)),0)</f>
        <v>0</v>
      </c>
      <c r="J344" s="10" t="n">
        <f aca="false">IF(B344="mass",D344/I344,0)</f>
        <v>0</v>
      </c>
      <c r="K344" s="7" t="str">
        <f aca="false">IF(B344="mass",COMPLEX(COSH(J344)*COS(J344),SINH(J344)*SIN(J344)),COMPLEX(1,0))</f>
        <v>1</v>
      </c>
      <c r="L344" s="7" t="str">
        <f aca="false">IF(B344="mass",COMPLEX(-I344/(2*E344)*(SINH(J344)*COS(J344)+COSH(J344)*SIN(J344)),-I344/(2*E344)*(COSH(J344)*SIN(J344)-SINH(J344)*COS(J344))),COMPLEX(-H344,0))</f>
        <v>-0</v>
      </c>
      <c r="M344" s="7" t="str">
        <f aca="false">IF(B344="mass",COMPLEX(-E344/I344*(SINH(J344)*COS(J344)-COSH(J344)*SIN(J344)),-E344/I344*(SINH(J344)*COS(J344)+COSH(J344)*SIN(J344))),COMPLEX(0,0))</f>
        <v>0</v>
      </c>
      <c r="N344" s="7" t="str">
        <f aca="false">K344</f>
        <v>1</v>
      </c>
      <c r="O344" s="7" t="str">
        <f aca="false">IMSUM(IMPRODUCT(K344,O343),IMPRODUCT(L344,Q343))</f>
        <v>-0.807584503569835+2.91467587736376i</v>
      </c>
      <c r="P344" s="7" t="str">
        <f aca="false">IMSUM(IMPRODUCT(K344,P343),IMPRODUCT(L344,R343))</f>
        <v>-0.0771634356438671-0.716441491527383i</v>
      </c>
      <c r="Q344" s="7" t="str">
        <f aca="false">IMSUM(IMPRODUCT(M344,O343),IMPRODUCT(N344,Q343))</f>
        <v>23.693765885917-14.2112397409914i</v>
      </c>
      <c r="R344" s="7" t="str">
        <f aca="false">IMSUM(IMPRODUCT(M344,P343),IMPRODUCT(N344,R343))</f>
        <v>-4.08740395844246+4.90989011279009i</v>
      </c>
      <c r="S344" s="10" t="n">
        <f aca="false">IF(B344="mass",D344/E344,H344)</f>
        <v>0</v>
      </c>
      <c r="T344" s="12" t="n">
        <f aca="false">IF(B344="mass",F344*G344*D344,0)</f>
        <v>0</v>
      </c>
    </row>
    <row r="345" customFormat="false" ht="15" hidden="false" customHeight="false" outlineLevel="0" collapsed="false">
      <c r="A345" s="7" t="s">
        <v>49</v>
      </c>
      <c r="B345" s="7" t="str">
        <f aca="false">IF(C345="","none",IF(C345="Cavity","res","mass"))</f>
        <v>none</v>
      </c>
      <c r="C345" s="7" t="str">
        <f aca="false">IF(INDEX(Library!$S$5:$S$34,$U$336)="","",INDEX(Library!$S$5:$S$34,$U$336))</f>
        <v/>
      </c>
      <c r="D345" s="11" t="n">
        <f aca="false">IF(B345="mass",INDEX(Library!$T$5:$T$34,$U$336)/1000,0)</f>
        <v>0</v>
      </c>
      <c r="E345" s="7" t="n">
        <f aca="false">IF(B345="mass",INDEX(Materials!$B$5:$B$28,MATCH(C345,Materials!$A$5:$A$28,0)),0)</f>
        <v>0</v>
      </c>
      <c r="F345" s="7" t="n">
        <f aca="false">IF(B345="mass",INDEX(Materials!$C$5:$C$28,MATCH(C345,Materials!$A$5:$A$28,0)),0)</f>
        <v>0</v>
      </c>
      <c r="G345" s="7" t="n">
        <f aca="false">IF(B345="mass",INDEX(Materials!$D$5:$D$28,MATCH(C345,Materials!$A$5:$A$28,0)),0)</f>
        <v>0</v>
      </c>
      <c r="H345" s="10" t="n">
        <f aca="false">IF(B345="res",INDEX(Library!$T$5:$T$34,$U$336),0)</f>
        <v>0</v>
      </c>
      <c r="I345" s="11" t="n">
        <f aca="false">IF(B345="mass",SQRT(E345*($B$2*3600)/(PI()*F345*G345)),0)</f>
        <v>0</v>
      </c>
      <c r="J345" s="10" t="n">
        <f aca="false">IF(B345="mass",D345/I345,0)</f>
        <v>0</v>
      </c>
      <c r="K345" s="7" t="str">
        <f aca="false">IF(B345="mass",COMPLEX(COSH(J345)*COS(J345),SINH(J345)*SIN(J345)),COMPLEX(1,0))</f>
        <v>1</v>
      </c>
      <c r="L345" s="7" t="str">
        <f aca="false">IF(B345="mass",COMPLEX(-I345/(2*E345)*(SINH(J345)*COS(J345)+COSH(J345)*SIN(J345)),-I345/(2*E345)*(COSH(J345)*SIN(J345)-SINH(J345)*COS(J345))),COMPLEX(-H345,0))</f>
        <v>-0</v>
      </c>
      <c r="M345" s="7" t="str">
        <f aca="false">IF(B345="mass",COMPLEX(-E345/I345*(SINH(J345)*COS(J345)-COSH(J345)*SIN(J345)),-E345/I345*(SINH(J345)*COS(J345)+COSH(J345)*SIN(J345))),COMPLEX(0,0))</f>
        <v>0</v>
      </c>
      <c r="N345" s="7" t="str">
        <f aca="false">K345</f>
        <v>1</v>
      </c>
      <c r="O345" s="7" t="str">
        <f aca="false">IMSUM(IMPRODUCT(K345,O344),IMPRODUCT(L345,Q344))</f>
        <v>-0.807584503569835+2.91467587736376i</v>
      </c>
      <c r="P345" s="7" t="str">
        <f aca="false">IMSUM(IMPRODUCT(K345,P344),IMPRODUCT(L345,R344))</f>
        <v>-0.0771634356438671-0.716441491527383i</v>
      </c>
      <c r="Q345" s="7" t="str">
        <f aca="false">IMSUM(IMPRODUCT(M345,O344),IMPRODUCT(N345,Q344))</f>
        <v>23.693765885917-14.2112397409914i</v>
      </c>
      <c r="R345" s="7" t="str">
        <f aca="false">IMSUM(IMPRODUCT(M345,P344),IMPRODUCT(N345,R344))</f>
        <v>-4.08740395844246+4.90989011279009i</v>
      </c>
      <c r="S345" s="10" t="n">
        <f aca="false">IF(B345="mass",D345/E345,H345)</f>
        <v>0</v>
      </c>
      <c r="T345" s="12" t="n">
        <f aca="false">IF(B345="mass",F345*G345*D345,0)</f>
        <v>0</v>
      </c>
    </row>
    <row r="346" customFormat="false" ht="15" hidden="false" customHeight="false" outlineLevel="0" collapsed="false">
      <c r="A346" s="7" t="s">
        <v>50</v>
      </c>
      <c r="B346" s="7" t="str">
        <f aca="false">IF(C346="","none",IF(C346="Cavity","res","mass"))</f>
        <v>none</v>
      </c>
      <c r="C346" s="7" t="str">
        <f aca="false">IF(INDEX(Library!$U$5:$U$34,$U$336)="","",INDEX(Library!$U$5:$U$34,$U$336))</f>
        <v/>
      </c>
      <c r="D346" s="11" t="n">
        <f aca="false">IF(B346="mass",INDEX(Library!$V$5:$V$34,$U$336)/1000,0)</f>
        <v>0</v>
      </c>
      <c r="E346" s="7" t="n">
        <f aca="false">IF(B346="mass",INDEX(Materials!$B$5:$B$28,MATCH(C346,Materials!$A$5:$A$28,0)),0)</f>
        <v>0</v>
      </c>
      <c r="F346" s="7" t="n">
        <f aca="false">IF(B346="mass",INDEX(Materials!$C$5:$C$28,MATCH(C346,Materials!$A$5:$A$28,0)),0)</f>
        <v>0</v>
      </c>
      <c r="G346" s="7" t="n">
        <f aca="false">IF(B346="mass",INDEX(Materials!$D$5:$D$28,MATCH(C346,Materials!$A$5:$A$28,0)),0)</f>
        <v>0</v>
      </c>
      <c r="H346" s="10" t="n">
        <f aca="false">IF(B346="res",INDEX(Library!$V$5:$V$34,$U$336),0)</f>
        <v>0</v>
      </c>
      <c r="I346" s="11" t="n">
        <f aca="false">IF(B346="mass",SQRT(E346*($B$2*3600)/(PI()*F346*G346)),0)</f>
        <v>0</v>
      </c>
      <c r="J346" s="10" t="n">
        <f aca="false">IF(B346="mass",D346/I346,0)</f>
        <v>0</v>
      </c>
      <c r="K346" s="7" t="str">
        <f aca="false">IF(B346="mass",COMPLEX(COSH(J346)*COS(J346),SINH(J346)*SIN(J346)),COMPLEX(1,0))</f>
        <v>1</v>
      </c>
      <c r="L346" s="7" t="str">
        <f aca="false">IF(B346="mass",COMPLEX(-I346/(2*E346)*(SINH(J346)*COS(J346)+COSH(J346)*SIN(J346)),-I346/(2*E346)*(COSH(J346)*SIN(J346)-SINH(J346)*COS(J346))),COMPLEX(-H346,0))</f>
        <v>-0</v>
      </c>
      <c r="M346" s="7" t="str">
        <f aca="false">IF(B346="mass",COMPLEX(-E346/I346*(SINH(J346)*COS(J346)-COSH(J346)*SIN(J346)),-E346/I346*(SINH(J346)*COS(J346)+COSH(J346)*SIN(J346))),COMPLEX(0,0))</f>
        <v>0</v>
      </c>
      <c r="N346" s="7" t="str">
        <f aca="false">K346</f>
        <v>1</v>
      </c>
      <c r="O346" s="7" t="str">
        <f aca="false">IMSUM(IMPRODUCT(K346,O345),IMPRODUCT(L346,Q345))</f>
        <v>-0.807584503569835+2.91467587736376i</v>
      </c>
      <c r="P346" s="7" t="str">
        <f aca="false">IMSUM(IMPRODUCT(K346,P345),IMPRODUCT(L346,R345))</f>
        <v>-0.0771634356438671-0.716441491527383i</v>
      </c>
      <c r="Q346" s="7" t="str">
        <f aca="false">IMSUM(IMPRODUCT(M346,O345),IMPRODUCT(N346,Q345))</f>
        <v>23.693765885917-14.2112397409914i</v>
      </c>
      <c r="R346" s="7" t="str">
        <f aca="false">IMSUM(IMPRODUCT(M346,P345),IMPRODUCT(N346,R345))</f>
        <v>-4.08740395844246+4.90989011279009i</v>
      </c>
      <c r="S346" s="10" t="n">
        <f aca="false">IF(B346="mass",D346/E346,H346)</f>
        <v>0</v>
      </c>
      <c r="T346" s="12" t="n">
        <f aca="false">IF(B346="mass",F346*G346*D346,0)</f>
        <v>0</v>
      </c>
    </row>
    <row r="347" customFormat="false" ht="15" hidden="false" customHeight="false" outlineLevel="0" collapsed="false">
      <c r="A347" s="7" t="s">
        <v>51</v>
      </c>
      <c r="B347" s="7" t="str">
        <f aca="false">IF($W$336="ground","mass",IF($W$336="adiabatic","res","none"))</f>
        <v>none</v>
      </c>
      <c r="C347" s="7" t="str">
        <f aca="false">IF($W$336="ground","clay soil","")</f>
        <v/>
      </c>
      <c r="D347" s="11" t="n">
        <f aca="false">IF(B347="mass",1,0)</f>
        <v>0</v>
      </c>
      <c r="E347" s="7" t="n">
        <f aca="false">IF(B347="mass",INDEX(Materials!$B$5:$B$28,MATCH(C347,Materials!$A$5:$A$28,0)),0)</f>
        <v>0</v>
      </c>
      <c r="F347" s="7" t="n">
        <f aca="false">IF(B347="mass",INDEX(Materials!$C$5:$C$28,MATCH(C347,Materials!$A$5:$A$28,0)),0)</f>
        <v>0</v>
      </c>
      <c r="G347" s="7" t="n">
        <f aca="false">IF(B347="mass",INDEX(Materials!$D$5:$D$28,MATCH(C347,Materials!$A$5:$A$28,0)),0)</f>
        <v>0</v>
      </c>
      <c r="H347" s="12" t="n">
        <f aca="false">IF(B347="res",1000000,0)</f>
        <v>0</v>
      </c>
      <c r="I347" s="11" t="n">
        <f aca="false">IF(B347="mass",SQRT(E347*($B$2*3600)/(PI()*F347*G347)),0)</f>
        <v>0</v>
      </c>
      <c r="J347" s="10" t="n">
        <f aca="false">IF(B347="mass",D347/I347,0)</f>
        <v>0</v>
      </c>
      <c r="K347" s="7" t="str">
        <f aca="false">IF(B347="mass",COMPLEX(COSH(J347)*COS(J347),SINH(J347)*SIN(J347)),COMPLEX(1,0))</f>
        <v>1</v>
      </c>
      <c r="L347" s="7" t="str">
        <f aca="false">IF(B347="mass",COMPLEX(-I347/(2*E347)*(SINH(J347)*COS(J347)+COSH(J347)*SIN(J347)),-I347/(2*E347)*(COSH(J347)*SIN(J347)-SINH(J347)*COS(J347))),COMPLEX(-H347,0))</f>
        <v>-0</v>
      </c>
      <c r="M347" s="7" t="str">
        <f aca="false">IF(B347="mass",COMPLEX(-E347/I347*(SINH(J347)*COS(J347)-COSH(J347)*SIN(J347)),-E347/I347*(SINH(J347)*COS(J347)+COSH(J347)*SIN(J347))),COMPLEX(0,0))</f>
        <v>0</v>
      </c>
      <c r="N347" s="7" t="str">
        <f aca="false">K347</f>
        <v>1</v>
      </c>
      <c r="O347" s="7" t="str">
        <f aca="false">IMSUM(IMPRODUCT(K347,O346),IMPRODUCT(L347,Q346))</f>
        <v>-0.807584503569835+2.91467587736376i</v>
      </c>
      <c r="P347" s="7" t="str">
        <f aca="false">IMSUM(IMPRODUCT(K347,P346),IMPRODUCT(L347,R346))</f>
        <v>-0.0771634356438671-0.716441491527383i</v>
      </c>
      <c r="Q347" s="7" t="str">
        <f aca="false">IMSUM(IMPRODUCT(M347,O346),IMPRODUCT(N347,Q346))</f>
        <v>23.693765885917-14.2112397409914i</v>
      </c>
      <c r="R347" s="7" t="str">
        <f aca="false">IMSUM(IMPRODUCT(M347,P346),IMPRODUCT(N347,R346))</f>
        <v>-4.08740395844246+4.90989011279009i</v>
      </c>
      <c r="S347" s="10" t="n">
        <f aca="false">IF(B347="mass",D347/E347,H347)</f>
        <v>0</v>
      </c>
      <c r="T347" s="12" t="n">
        <f aca="false">IF(B347="mass",F347*G347*D347,0)</f>
        <v>0</v>
      </c>
    </row>
    <row r="348" customFormat="false" ht="15" hidden="false" customHeight="false" outlineLevel="0" collapsed="false">
      <c r="A348" s="7" t="s">
        <v>52</v>
      </c>
      <c r="B348" s="7" t="s">
        <v>42</v>
      </c>
      <c r="H348" s="10" t="n">
        <f aca="false">IF($W$336="ext",0.04,IF($W$336="room",$Y$336,0))</f>
        <v>0.04</v>
      </c>
      <c r="I348" s="11" t="n">
        <f aca="false">IF(B348="mass",SQRT(E348*($B$2*3600)/(PI()*F348*G348)),0)</f>
        <v>0</v>
      </c>
      <c r="J348" s="10" t="n">
        <f aca="false">IF(B348="mass",D348/I348,0)</f>
        <v>0</v>
      </c>
      <c r="K348" s="7" t="str">
        <f aca="false">IF(B348="mass",COMPLEX(COSH(J348)*COS(J348),SINH(J348)*SIN(J348)),COMPLEX(1,0))</f>
        <v>1</v>
      </c>
      <c r="L348" s="7" t="str">
        <f aca="false">IF(B348="mass",COMPLEX(-I348/(2*E348)*(SINH(J348)*COS(J348)+COSH(J348)*SIN(J348)),-I348/(2*E348)*(COSH(J348)*SIN(J348)-SINH(J348)*COS(J348))),COMPLEX(-H348,0))</f>
        <v>-0.04</v>
      </c>
      <c r="M348" s="7" t="str">
        <f aca="false">IF(B348="mass",COMPLEX(-E348/I348*(SINH(J348)*COS(J348)-COSH(J348)*SIN(J348)),-E348/I348*(SINH(J348)*COS(J348)+COSH(J348)*SIN(J348))),COMPLEX(0,0))</f>
        <v>0</v>
      </c>
      <c r="N348" s="7" t="str">
        <f aca="false">K348</f>
        <v>1</v>
      </c>
      <c r="O348" s="7" t="str">
        <f aca="false">IMSUM(IMPRODUCT(K348,O347),IMPRODUCT(L348,Q347))</f>
        <v>-1.75533513900652+3.48312546700342i</v>
      </c>
      <c r="P348" s="7" t="str">
        <f aca="false">IMSUM(IMPRODUCT(K348,P347),IMPRODUCT(L348,R347))</f>
        <v>0.086332722693831-0.912837096038987i</v>
      </c>
      <c r="Q348" s="7" t="str">
        <f aca="false">IMSUM(IMPRODUCT(M348,O347),IMPRODUCT(N348,Q347))</f>
        <v>23.693765885917-14.2112397409914i</v>
      </c>
      <c r="R348" s="7" t="str">
        <f aca="false">IMSUM(IMPRODUCT(M348,P347),IMPRODUCT(N348,R347))</f>
        <v>-4.08740395844246+4.90989011279009i</v>
      </c>
      <c r="S348" s="10" t="n">
        <f aca="false">IF(B348="mass",D348/E348,H348)</f>
        <v>0.04</v>
      </c>
      <c r="T348" s="12" t="n">
        <f aca="false">IF(B348="mass",F348*G348*D348,0)</f>
        <v>0</v>
      </c>
    </row>
    <row r="349" customFormat="false" ht="15" hidden="false" customHeight="false" outlineLevel="0" collapsed="false">
      <c r="A349" s="9" t="s">
        <v>53</v>
      </c>
      <c r="B349" s="13" t="n">
        <f aca="false">IF(OR($W$336="ext",$W$336="ground"),1/SUM(S338:S348),"–")</f>
        <v>2.10428508963708</v>
      </c>
      <c r="C349" s="9" t="s">
        <v>54</v>
      </c>
      <c r="D349" s="13" t="n">
        <f aca="false">IMABS(IMDIV(IMPRODUCT(O348,COMPLEX(-1,0)),P348))</f>
        <v>4.25388435449535</v>
      </c>
      <c r="E349" s="9" t="s">
        <v>55</v>
      </c>
      <c r="F349" s="14" t="n">
        <f aca="false">IMARGUMENT(IMDIV(IMPRODUCT(O348,COMPLEX(-1,0)),P348))*$B$2/(2*PI())</f>
        <v>1.42288357494103</v>
      </c>
      <c r="G349" s="9" t="s">
        <v>56</v>
      </c>
      <c r="H349" s="13" t="n">
        <f aca="false">IF($W$336="ext",IMABS(IMDIV(COMPLEX(-1,0),P348))*SUM(S338:S348),"–")</f>
        <v>0.518284792799949</v>
      </c>
      <c r="I349" s="9" t="s">
        <v>57</v>
      </c>
      <c r="J349" s="14" t="n">
        <f aca="false">IF($W$336="ext",MOD(-IMARGUMENT(IMDIV(COMPLEX(-1,0),P348))*$B$2/(2*PI()),24),"–")</f>
        <v>6.3601833626031</v>
      </c>
      <c r="K349" s="9" t="s">
        <v>58</v>
      </c>
      <c r="L349" s="15" t="n">
        <f aca="false">($B$2*3600)/(2*PI())*IMABS(IMDIV(IMSUB(O348,COMPLEX(1,0)),P348))/1000</f>
        <v>66.6046879184132</v>
      </c>
      <c r="M349" s="9" t="s">
        <v>59</v>
      </c>
      <c r="N349" s="15" t="n">
        <f aca="false">SUM(T339:T346)/1000</f>
        <v>309.3</v>
      </c>
      <c r="O349" s="9" t="s">
        <v>60</v>
      </c>
      <c r="P349" s="16" t="n">
        <f aca="false">SUM(S339:S346)</f>
        <v>0.305220779220779</v>
      </c>
    </row>
    <row r="351" customFormat="false" ht="15" hidden="false" customHeight="false" outlineLevel="0" collapsed="false">
      <c r="A351" s="4" t="s">
        <v>104</v>
      </c>
    </row>
    <row r="352" customFormat="false" ht="15" hidden="false" customHeight="false" outlineLevel="0" collapsed="false">
      <c r="A352" s="9"/>
      <c r="B352" s="9" t="s">
        <v>62</v>
      </c>
      <c r="C352" s="9" t="s">
        <v>63</v>
      </c>
      <c r="D352" s="9"/>
      <c r="E352" s="9"/>
      <c r="F352" s="9"/>
      <c r="G352" s="9"/>
      <c r="H352" s="9"/>
      <c r="I352" s="9"/>
      <c r="J352" s="9"/>
      <c r="K352" s="9" t="s">
        <v>32</v>
      </c>
      <c r="L352" s="9" t="s">
        <v>33</v>
      </c>
      <c r="M352" s="9" t="s">
        <v>34</v>
      </c>
      <c r="N352" s="9" t="s">
        <v>35</v>
      </c>
      <c r="O352" s="9" t="s">
        <v>36</v>
      </c>
      <c r="P352" s="9" t="s">
        <v>37</v>
      </c>
      <c r="Q352" s="9" t="s">
        <v>38</v>
      </c>
      <c r="R352" s="9" t="s">
        <v>39</v>
      </c>
    </row>
    <row r="353" customFormat="false" ht="15" hidden="false" customHeight="false" outlineLevel="0" collapsed="false">
      <c r="A353" s="7" t="s">
        <v>22</v>
      </c>
      <c r="B353" s="7" t="s">
        <v>42</v>
      </c>
      <c r="C353" s="10" t="n">
        <f aca="false">$Y$336</f>
        <v>0.13</v>
      </c>
      <c r="K353" s="7" t="str">
        <f aca="false">COMPLEX(1,0)</f>
        <v>1</v>
      </c>
      <c r="L353" s="7" t="str">
        <f aca="false">COMPLEX(-C353,0)</f>
        <v>-0.13</v>
      </c>
      <c r="M353" s="7" t="str">
        <f aca="false">COMPLEX(0,0)</f>
        <v>0</v>
      </c>
      <c r="N353" s="7" t="str">
        <f aca="false">COMPLEX(1,0)</f>
        <v>1</v>
      </c>
      <c r="O353" s="7" t="str">
        <f aca="false">K353</f>
        <v>1</v>
      </c>
      <c r="P353" s="7" t="str">
        <f aca="false">L353</f>
        <v>-0.13</v>
      </c>
      <c r="Q353" s="7" t="str">
        <f aca="false">M353</f>
        <v>0</v>
      </c>
      <c r="R353" s="7" t="str">
        <f aca="false">N353</f>
        <v>1</v>
      </c>
    </row>
    <row r="354" customFormat="false" ht="15" hidden="false" customHeight="false" outlineLevel="0" collapsed="false">
      <c r="A354" s="7" t="s">
        <v>64</v>
      </c>
      <c r="B354" s="7" t="s">
        <v>65</v>
      </c>
      <c r="C354" s="10" t="n">
        <f aca="false">INDEX(Classes!$B$5:$F$9,MATCH(Engine!$C$335,Classes!$A$5:$A$9,0),5)*(N349*1000)</f>
        <v>38662.5</v>
      </c>
      <c r="K354" s="7" t="str">
        <f aca="false">COMPLEX(1,0)</f>
        <v>1</v>
      </c>
      <c r="L354" s="7" t="str">
        <f aca="false">COMPLEX(0,0)</f>
        <v>0</v>
      </c>
      <c r="M354" s="7" t="str">
        <f aca="false">COMPLEX(0,-(2*PI()/($B$2*3600))*C354)</f>
        <v>-2.81161634188462i</v>
      </c>
      <c r="N354" s="7" t="str">
        <f aca="false">COMPLEX(1,0)</f>
        <v>1</v>
      </c>
      <c r="O354" s="7" t="str">
        <f aca="false">IMSUM(IMPRODUCT(K354,O353),IMPRODUCT(L354,Q353))</f>
        <v>1</v>
      </c>
      <c r="P354" s="7" t="str">
        <f aca="false">IMSUM(IMPRODUCT(K354,P353),IMPRODUCT(L354,R353))</f>
        <v>-0.13</v>
      </c>
      <c r="Q354" s="7" t="str">
        <f aca="false">IMSUM(IMPRODUCT(M354,O353),IMPRODUCT(N354,Q353))</f>
        <v>-2.81161634188462i</v>
      </c>
      <c r="R354" s="7" t="str">
        <f aca="false">IMSUM(IMPRODUCT(M354,P353),IMPRODUCT(N354,R353))</f>
        <v>1+0.365510124445001i</v>
      </c>
    </row>
    <row r="355" customFormat="false" ht="15" hidden="false" customHeight="false" outlineLevel="0" collapsed="false">
      <c r="A355" s="7" t="s">
        <v>66</v>
      </c>
      <c r="B355" s="7" t="s">
        <v>42</v>
      </c>
      <c r="C355" s="10" t="n">
        <f aca="false">P349/6</f>
        <v>0.0508701298701299</v>
      </c>
      <c r="K355" s="7" t="str">
        <f aca="false">COMPLEX(1,0)</f>
        <v>1</v>
      </c>
      <c r="L355" s="7" t="str">
        <f aca="false">COMPLEX(-C355,0)</f>
        <v>-0.0508701298701299</v>
      </c>
      <c r="M355" s="7" t="str">
        <f aca="false">COMPLEX(0,0)</f>
        <v>0</v>
      </c>
      <c r="N355" s="7" t="str">
        <f aca="false">COMPLEX(1,0)</f>
        <v>1</v>
      </c>
      <c r="O355" s="7" t="str">
        <f aca="false">IMSUM(IMPRODUCT(K355,O354),IMPRODUCT(L355,Q354))</f>
        <v>1+0.14302728845665i</v>
      </c>
      <c r="P355" s="7" t="str">
        <f aca="false">IMSUM(IMPRODUCT(K355,P354),IMPRODUCT(L355,R354))</f>
        <v>-0.18087012987013-0.0185935474993646i</v>
      </c>
      <c r="Q355" s="7" t="str">
        <f aca="false">IMSUM(IMPRODUCT(M355,O354),IMPRODUCT(N355,Q354))</f>
        <v>-2.81161634188462i</v>
      </c>
      <c r="R355" s="7" t="str">
        <f aca="false">IMSUM(IMPRODUCT(M355,P354),IMPRODUCT(N355,R354))</f>
        <v>1+0.365510124445001i</v>
      </c>
    </row>
    <row r="356" customFormat="false" ht="15" hidden="false" customHeight="false" outlineLevel="0" collapsed="false">
      <c r="A356" s="7" t="s">
        <v>67</v>
      </c>
      <c r="B356" s="7" t="s">
        <v>65</v>
      </c>
      <c r="C356" s="10" t="n">
        <f aca="false">INDEX(Classes!$B$5:$F$9,MATCH(Engine!$C$335,Classes!$A$5:$A$9,0),4)*(N349*1000)</f>
        <v>77325</v>
      </c>
      <c r="K356" s="7" t="str">
        <f aca="false">COMPLEX(1,0)</f>
        <v>1</v>
      </c>
      <c r="L356" s="7" t="str">
        <f aca="false">COMPLEX(0,0)</f>
        <v>0</v>
      </c>
      <c r="M356" s="7" t="str">
        <f aca="false">COMPLEX(0,-(2*PI()/($B$2*3600))*C356)</f>
        <v>-5.62323268376923i</v>
      </c>
      <c r="N356" s="7" t="str">
        <f aca="false">COMPLEX(1,0)</f>
        <v>1</v>
      </c>
      <c r="O356" s="7" t="str">
        <f aca="false">IMSUM(IMPRODUCT(K356,O355),IMPRODUCT(L356,Q355))</f>
        <v>1+0.14302728845665i</v>
      </c>
      <c r="P356" s="7" t="str">
        <f aca="false">IMSUM(IMPRODUCT(K356,P355),IMPRODUCT(L356,R355))</f>
        <v>-0.18087012987013-0.0185935474993646i</v>
      </c>
      <c r="Q356" s="7" t="str">
        <f aca="false">IMSUM(IMPRODUCT(M356,O355),IMPRODUCT(N356,Q355))</f>
        <v>0.804275723120324-8.43484902565385i</v>
      </c>
      <c r="R356" s="7" t="str">
        <f aca="false">IMSUM(IMPRODUCT(M356,P355),IMPRODUCT(N356,R355))</f>
        <v>0.895444155994357+1.3825849502483i</v>
      </c>
    </row>
    <row r="357" customFormat="false" ht="15" hidden="false" customHeight="false" outlineLevel="0" collapsed="false">
      <c r="A357" s="7" t="s">
        <v>68</v>
      </c>
      <c r="B357" s="7" t="s">
        <v>42</v>
      </c>
      <c r="C357" s="10" t="n">
        <f aca="false">P349/3</f>
        <v>0.10174025974026</v>
      </c>
      <c r="K357" s="7" t="str">
        <f aca="false">COMPLEX(1,0)</f>
        <v>1</v>
      </c>
      <c r="L357" s="7" t="str">
        <f aca="false">COMPLEX(-C357,0)</f>
        <v>-0.10174025974026</v>
      </c>
      <c r="M357" s="7" t="str">
        <f aca="false">COMPLEX(0,0)</f>
        <v>0</v>
      </c>
      <c r="N357" s="7" t="str">
        <f aca="false">COMPLEX(1,0)</f>
        <v>1</v>
      </c>
      <c r="O357" s="7" t="str">
        <f aca="false">IMSUM(IMPRODUCT(K357,O356),IMPRODUCT(L357,Q356))</f>
        <v>0.918172779026953+1.00119101919655i</v>
      </c>
      <c r="P357" s="7" t="str">
        <f aca="false">IMSUM(IMPRODUCT(K357,P356),IMPRODUCT(L357,R356))</f>
        <v>-0.271972850883894-0.159258099450602i</v>
      </c>
      <c r="Q357" s="7" t="str">
        <f aca="false">IMSUM(IMPRODUCT(M357,O356),IMPRODUCT(N357,Q356))</f>
        <v>0.804275723120324-8.43484902565385i</v>
      </c>
      <c r="R357" s="7" t="str">
        <f aca="false">IMSUM(IMPRODUCT(M357,P356),IMPRODUCT(N357,R356))</f>
        <v>0.895444155994357+1.3825849502483i</v>
      </c>
    </row>
    <row r="358" customFormat="false" ht="15" hidden="false" customHeight="false" outlineLevel="0" collapsed="false">
      <c r="A358" s="7" t="s">
        <v>69</v>
      </c>
      <c r="B358" s="7" t="s">
        <v>65</v>
      </c>
      <c r="C358" s="10" t="n">
        <f aca="false">INDEX(Classes!$B$5:$F$9,MATCH(Engine!$C$335,Classes!$A$5:$A$9,0),3)*(N349*1000)</f>
        <v>77325</v>
      </c>
      <c r="K358" s="7" t="str">
        <f aca="false">COMPLEX(1,0)</f>
        <v>1</v>
      </c>
      <c r="L358" s="7" t="str">
        <f aca="false">COMPLEX(0,0)</f>
        <v>0</v>
      </c>
      <c r="M358" s="7" t="str">
        <f aca="false">COMPLEX(0,-(2*PI()/($B$2*3600))*C358)</f>
        <v>-5.62323268376923i</v>
      </c>
      <c r="N358" s="7" t="str">
        <f aca="false">COMPLEX(1,0)</f>
        <v>1</v>
      </c>
      <c r="O358" s="7" t="str">
        <f aca="false">IMSUM(IMPRODUCT(K358,O357),IMPRODUCT(L358,Q357))</f>
        <v>0.918172779026953+1.00119101919655i</v>
      </c>
      <c r="P358" s="7" t="str">
        <f aca="false">IMSUM(IMPRODUCT(K358,P357),IMPRODUCT(L358,R357))</f>
        <v>-0.271972850883894-0.159258099450602i</v>
      </c>
      <c r="Q358" s="7" t="str">
        <f aca="false">IMSUM(IMPRODUCT(M358,O357),IMPRODUCT(N358,Q357))</f>
        <v>6.43420578496259-13.5979482060254i</v>
      </c>
      <c r="R358" s="7" t="str">
        <f aca="false">IMSUM(IMPRODUCT(M358,P357),IMPRODUCT(N358,R357))</f>
        <v>-0.00010119399123909+2.91195157443651i</v>
      </c>
    </row>
    <row r="359" customFormat="false" ht="15" hidden="false" customHeight="false" outlineLevel="0" collapsed="false">
      <c r="A359" s="7" t="s">
        <v>68</v>
      </c>
      <c r="B359" s="7" t="s">
        <v>42</v>
      </c>
      <c r="C359" s="10" t="n">
        <f aca="false">P349/3</f>
        <v>0.10174025974026</v>
      </c>
      <c r="K359" s="7" t="str">
        <f aca="false">COMPLEX(1,0)</f>
        <v>1</v>
      </c>
      <c r="L359" s="7" t="str">
        <f aca="false">COMPLEX(-C359,0)</f>
        <v>-0.10174025974026</v>
      </c>
      <c r="M359" s="7" t="str">
        <f aca="false">COMPLEX(0,0)</f>
        <v>0</v>
      </c>
      <c r="N359" s="7" t="str">
        <f aca="false">COMPLEX(1,0)</f>
        <v>1</v>
      </c>
      <c r="O359" s="7" t="str">
        <f aca="false">IMSUM(IMPRODUCT(K359,O358),IMPRODUCT(L359,Q358))</f>
        <v>0.263555011242575+2.38464980161218i</v>
      </c>
      <c r="P359" s="7" t="str">
        <f aca="false">IMSUM(IMPRODUCT(K359,P358),IMPRODUCT(L359,R358))</f>
        <v>-0.271962555380941-0.455520808984832i</v>
      </c>
      <c r="Q359" s="7" t="str">
        <f aca="false">IMSUM(IMPRODUCT(M359,O358),IMPRODUCT(N359,Q358))</f>
        <v>6.43420578496259-13.5979482060254i</v>
      </c>
      <c r="R359" s="7" t="str">
        <f aca="false">IMSUM(IMPRODUCT(M359,P358),IMPRODUCT(N359,R358))</f>
        <v>-0.00010119399123909+2.91195157443651i</v>
      </c>
    </row>
    <row r="360" customFormat="false" ht="15" hidden="false" customHeight="false" outlineLevel="0" collapsed="false">
      <c r="A360" s="7" t="s">
        <v>70</v>
      </c>
      <c r="B360" s="7" t="s">
        <v>65</v>
      </c>
      <c r="C360" s="10" t="n">
        <f aca="false">INDEX(Classes!$B$5:$F$9,MATCH(Engine!$C$335,Classes!$A$5:$A$9,0),2)*(N349*1000)</f>
        <v>77325</v>
      </c>
      <c r="K360" s="7" t="str">
        <f aca="false">COMPLEX(1,0)</f>
        <v>1</v>
      </c>
      <c r="L360" s="7" t="str">
        <f aca="false">COMPLEX(0,0)</f>
        <v>0</v>
      </c>
      <c r="M360" s="7" t="str">
        <f aca="false">COMPLEX(0,-(2*PI()/($B$2*3600))*C360)</f>
        <v>-5.62323268376923i</v>
      </c>
      <c r="N360" s="7" t="str">
        <f aca="false">COMPLEX(1,0)</f>
        <v>1</v>
      </c>
      <c r="O360" s="7" t="str">
        <f aca="false">IMSUM(IMPRODUCT(K360,O359),IMPRODUCT(L360,Q359))</f>
        <v>0.263555011242575+2.38464980161218i</v>
      </c>
      <c r="P360" s="7" t="str">
        <f aca="false">IMSUM(IMPRODUCT(K360,P359),IMPRODUCT(L360,R359))</f>
        <v>-0.271962555380941-0.455520808984832i</v>
      </c>
      <c r="Q360" s="7" t="str">
        <f aca="false">IMSUM(IMPRODUCT(M360,O359),IMPRODUCT(N360,Q359))</f>
        <v>19.843646488732-15.0799793592158i</v>
      </c>
      <c r="R360" s="7" t="str">
        <f aca="false">IMSUM(IMPRODUCT(M360,P359),IMPRODUCT(N360,R359))</f>
        <v>-2.56160069521175+4.44126030461602i</v>
      </c>
    </row>
    <row r="361" customFormat="false" ht="15" hidden="false" customHeight="false" outlineLevel="0" collapsed="false">
      <c r="A361" s="7" t="s">
        <v>66</v>
      </c>
      <c r="B361" s="7" t="s">
        <v>42</v>
      </c>
      <c r="C361" s="10" t="n">
        <f aca="false">P349/6</f>
        <v>0.0508701298701299</v>
      </c>
      <c r="K361" s="7" t="str">
        <f aca="false">COMPLEX(1,0)</f>
        <v>1</v>
      </c>
      <c r="L361" s="7" t="str">
        <f aca="false">COMPLEX(-C361,0)</f>
        <v>-0.0508701298701299</v>
      </c>
      <c r="M361" s="7" t="str">
        <f aca="false">COMPLEX(0,0)</f>
        <v>0</v>
      </c>
      <c r="N361" s="7" t="str">
        <f aca="false">COMPLEX(1,0)</f>
        <v>1</v>
      </c>
      <c r="O361" s="7" t="str">
        <f aca="false">IMSUM(IMPRODUCT(K361,O360),IMPRODUCT(L361,Q360))</f>
        <v>-0.745893862736165+3.15177031005437i</v>
      </c>
      <c r="P361" s="7" t="str">
        <f aca="false">IMSUM(IMPRODUCT(K361,P360),IMPRODUCT(L361,R360))</f>
        <v>-0.141653595340104-0.681448297467702i</v>
      </c>
      <c r="Q361" s="7" t="str">
        <f aca="false">IMSUM(IMPRODUCT(M361,O360),IMPRODUCT(N361,Q360))</f>
        <v>19.843646488732-15.0799793592158i</v>
      </c>
      <c r="R361" s="7" t="str">
        <f aca="false">IMSUM(IMPRODUCT(M361,P360),IMPRODUCT(N361,R360))</f>
        <v>-2.56160069521175+4.44126030461602i</v>
      </c>
    </row>
    <row r="362" customFormat="false" ht="15" hidden="false" customHeight="false" outlineLevel="0" collapsed="false">
      <c r="A362" s="7" t="s">
        <v>71</v>
      </c>
      <c r="B362" s="7" t="s">
        <v>65</v>
      </c>
      <c r="C362" s="10" t="n">
        <f aca="false">INDEX(Classes!$B$5:$F$9,MATCH(Engine!$C$335,Classes!$A$5:$A$9,0),1)*(N349*1000)</f>
        <v>38662.5</v>
      </c>
      <c r="K362" s="7" t="str">
        <f aca="false">COMPLEX(1,0)</f>
        <v>1</v>
      </c>
      <c r="L362" s="7" t="str">
        <f aca="false">COMPLEX(0,0)</f>
        <v>0</v>
      </c>
      <c r="M362" s="7" t="str">
        <f aca="false">COMPLEX(0,-(2*PI()/($B$2*3600))*C362)</f>
        <v>-2.81161634188462i</v>
      </c>
      <c r="N362" s="7" t="str">
        <f aca="false">COMPLEX(1,0)</f>
        <v>1</v>
      </c>
      <c r="O362" s="7" t="str">
        <f aca="false">IMSUM(IMPRODUCT(K362,O361),IMPRODUCT(L362,Q361))</f>
        <v>-0.745893862736165+3.15177031005437i</v>
      </c>
      <c r="P362" s="7" t="str">
        <f aca="false">IMSUM(IMPRODUCT(K362,P361),IMPRODUCT(L362,R361))</f>
        <v>-0.141653595340104-0.681448297467702i</v>
      </c>
      <c r="Q362" s="7" t="str">
        <f aca="false">IMSUM(IMPRODUCT(M362,O361),IMPRODUCT(N362,Q361))</f>
        <v>28.7052153983476-12.9828119854354i</v>
      </c>
      <c r="R362" s="7" t="str">
        <f aca="false">IMSUM(IMPRODUCT(M362,P361),IMPRODUCT(N362,R361))</f>
        <v>-4.47757186452139+4.83953586816097i</v>
      </c>
    </row>
    <row r="363" customFormat="false" ht="15" hidden="false" customHeight="false" outlineLevel="0" collapsed="false">
      <c r="A363" s="7" t="s">
        <v>72</v>
      </c>
      <c r="B363" s="7" t="s">
        <v>73</v>
      </c>
      <c r="K363" s="7" t="str">
        <f aca="false">K347</f>
        <v>1</v>
      </c>
      <c r="L363" s="7" t="str">
        <f aca="false">L347</f>
        <v>-0</v>
      </c>
      <c r="M363" s="7" t="str">
        <f aca="false">M347</f>
        <v>0</v>
      </c>
      <c r="N363" s="7" t="str">
        <f aca="false">N347</f>
        <v>1</v>
      </c>
      <c r="O363" s="7" t="str">
        <f aca="false">IMSUM(IMPRODUCT(K363,O362),IMPRODUCT(L363,Q362))</f>
        <v>-0.745893862736165+3.15177031005437i</v>
      </c>
      <c r="P363" s="7" t="str">
        <f aca="false">IMSUM(IMPRODUCT(K363,P362),IMPRODUCT(L363,R362))</f>
        <v>-0.141653595340104-0.681448297467702i</v>
      </c>
      <c r="Q363" s="7" t="str">
        <f aca="false">IMSUM(IMPRODUCT(M363,O362),IMPRODUCT(N363,Q362))</f>
        <v>28.7052153983476-12.9828119854354i</v>
      </c>
      <c r="R363" s="7" t="str">
        <f aca="false">IMSUM(IMPRODUCT(M363,P362),IMPRODUCT(N363,R362))</f>
        <v>-4.47757186452139+4.83953586816097i</v>
      </c>
    </row>
    <row r="364" customFormat="false" ht="15" hidden="false" customHeight="false" outlineLevel="0" collapsed="false">
      <c r="A364" s="7" t="s">
        <v>52</v>
      </c>
      <c r="B364" s="7" t="s">
        <v>73</v>
      </c>
      <c r="K364" s="7" t="str">
        <f aca="false">K348</f>
        <v>1</v>
      </c>
      <c r="L364" s="7" t="str">
        <f aca="false">L348</f>
        <v>-0.04</v>
      </c>
      <c r="M364" s="7" t="str">
        <f aca="false">M348</f>
        <v>0</v>
      </c>
      <c r="N364" s="7" t="str">
        <f aca="false">N348</f>
        <v>1</v>
      </c>
      <c r="O364" s="7" t="str">
        <f aca="false">IMSUM(IMPRODUCT(K364,O363),IMPRODUCT(L364,Q363))</f>
        <v>-1.89410247867007+3.67108278947179i</v>
      </c>
      <c r="P364" s="7" t="str">
        <f aca="false">IMSUM(IMPRODUCT(K364,P363),IMPRODUCT(L364,R363))</f>
        <v>0.037449279240752-0.875029732194141i</v>
      </c>
      <c r="Q364" s="7" t="str">
        <f aca="false">IMSUM(IMPRODUCT(M364,O363),IMPRODUCT(N364,Q363))</f>
        <v>28.7052153983476-12.9828119854354i</v>
      </c>
      <c r="R364" s="7" t="str">
        <f aca="false">IMSUM(IMPRODUCT(M364,P363),IMPRODUCT(N364,R363))</f>
        <v>-4.47757186452139+4.83953586816097i</v>
      </c>
    </row>
    <row r="365" customFormat="false" ht="15" hidden="false" customHeight="false" outlineLevel="0" collapsed="false">
      <c r="A365" s="9" t="s">
        <v>74</v>
      </c>
      <c r="B365" s="13" t="n">
        <f aca="false">IMABS(IMDIV(IMPRODUCT(O364,COMPLEX(-1,0)),P364))</f>
        <v>4.7165697150989</v>
      </c>
    </row>
    <row r="368" customFormat="false" ht="15" hidden="false" customHeight="false" outlineLevel="0" collapsed="false">
      <c r="A368" s="4" t="s">
        <v>105</v>
      </c>
      <c r="B368" s="9" t="s">
        <v>18</v>
      </c>
      <c r="C368" s="7" t="str">
        <f aca="false">INDEX(Library!$F$5:$F$34,MATCH(A368,Library!$A$5:$A$34,0))</f>
        <v>E</v>
      </c>
    </row>
    <row r="369" customFormat="false" ht="15" hidden="false" customHeight="false" outlineLevel="0" collapsed="false">
      <c r="A369" s="4" t="s">
        <v>106</v>
      </c>
      <c r="T369" s="9" t="s">
        <v>20</v>
      </c>
      <c r="U369" s="7" t="n">
        <f aca="false">MATCH($A$368,Library!$A$5:$A$34,0)</f>
        <v>12</v>
      </c>
      <c r="V369" s="9" t="s">
        <v>21</v>
      </c>
      <c r="W369" s="7" t="str">
        <f aca="false">INDEX(Library!$D$5:$D$34,$U$369)</f>
        <v>ext</v>
      </c>
      <c r="X369" s="9" t="s">
        <v>22</v>
      </c>
      <c r="Y369" s="7" t="n">
        <f aca="false">INDEX(Library!$E$5:$E$34,$U$369)</f>
        <v>0.13</v>
      </c>
    </row>
    <row r="370" customFormat="false" ht="15" hidden="false" customHeight="false" outlineLevel="0" collapsed="false">
      <c r="A370" s="9"/>
      <c r="B370" s="9" t="s">
        <v>23</v>
      </c>
      <c r="C370" s="9" t="s">
        <v>24</v>
      </c>
      <c r="D370" s="9" t="s">
        <v>25</v>
      </c>
      <c r="E370" s="9" t="s">
        <v>26</v>
      </c>
      <c r="F370" s="9" t="s">
        <v>27</v>
      </c>
      <c r="G370" s="9" t="s">
        <v>28</v>
      </c>
      <c r="H370" s="9" t="s">
        <v>29</v>
      </c>
      <c r="I370" s="9" t="s">
        <v>30</v>
      </c>
      <c r="J370" s="9" t="s">
        <v>31</v>
      </c>
      <c r="K370" s="9" t="s">
        <v>32</v>
      </c>
      <c r="L370" s="9" t="s">
        <v>33</v>
      </c>
      <c r="M370" s="9" t="s">
        <v>34</v>
      </c>
      <c r="N370" s="9" t="s">
        <v>35</v>
      </c>
      <c r="O370" s="9" t="s">
        <v>36</v>
      </c>
      <c r="P370" s="9" t="s">
        <v>37</v>
      </c>
      <c r="Q370" s="9" t="s">
        <v>38</v>
      </c>
      <c r="R370" s="9" t="s">
        <v>39</v>
      </c>
      <c r="S370" s="9" t="s">
        <v>40</v>
      </c>
      <c r="T370" s="9" t="s">
        <v>41</v>
      </c>
    </row>
    <row r="371" customFormat="false" ht="15" hidden="false" customHeight="false" outlineLevel="0" collapsed="false">
      <c r="A371" s="7" t="s">
        <v>22</v>
      </c>
      <c r="B371" s="7" t="s">
        <v>42</v>
      </c>
      <c r="H371" s="10" t="n">
        <f aca="false">$Y$369</f>
        <v>0.13</v>
      </c>
      <c r="I371" s="11" t="n">
        <f aca="false">IF(B371="mass",SQRT(E371*($B$2*3600)/(PI()*F371*G371)),0)</f>
        <v>0</v>
      </c>
      <c r="J371" s="10" t="n">
        <f aca="false">IF(B371="mass",D371/I371,0)</f>
        <v>0</v>
      </c>
      <c r="K371" s="7" t="str">
        <f aca="false">IF(B371="mass",COMPLEX(COSH(J371)*COS(J371),SINH(J371)*SIN(J371)),COMPLEX(1,0))</f>
        <v>1</v>
      </c>
      <c r="L371" s="7" t="str">
        <f aca="false">IF(B371="mass",COMPLEX(-I371/(2*E371)*(SINH(J371)*COS(J371)+COSH(J371)*SIN(J371)),-I371/(2*E371)*(COSH(J371)*SIN(J371)-SINH(J371)*COS(J371))),COMPLEX(-H371,0))</f>
        <v>-0.13</v>
      </c>
      <c r="M371" s="7" t="str">
        <f aca="false">IF(B371="mass",COMPLEX(-E371/I371*(SINH(J371)*COS(J371)-COSH(J371)*SIN(J371)),-E371/I371*(SINH(J371)*COS(J371)+COSH(J371)*SIN(J371))),COMPLEX(0,0))</f>
        <v>0</v>
      </c>
      <c r="N371" s="7" t="str">
        <f aca="false">K371</f>
        <v>1</v>
      </c>
      <c r="O371" s="7" t="str">
        <f aca="false">K371</f>
        <v>1</v>
      </c>
      <c r="P371" s="7" t="str">
        <f aca="false">L371</f>
        <v>-0.13</v>
      </c>
      <c r="Q371" s="7" t="str">
        <f aca="false">M371</f>
        <v>0</v>
      </c>
      <c r="R371" s="7" t="str">
        <f aca="false">N371</f>
        <v>1</v>
      </c>
      <c r="S371" s="10" t="n">
        <f aca="false">IF(B371="mass",D371/E371,H371)</f>
        <v>0.13</v>
      </c>
      <c r="T371" s="12" t="n">
        <f aca="false">IF(B371="mass",F371*G371*D371,0)</f>
        <v>0</v>
      </c>
    </row>
    <row r="372" customFormat="false" ht="15" hidden="false" customHeight="false" outlineLevel="0" collapsed="false">
      <c r="A372" s="7" t="s">
        <v>43</v>
      </c>
      <c r="B372" s="7" t="str">
        <f aca="false">IF(C372="","none",IF(C372="Cavity","res","mass"))</f>
        <v>mass</v>
      </c>
      <c r="C372" s="7" t="str">
        <f aca="false">IF(INDEX(Library!$G$5:$G$34,$U$369)="","",INDEX(Library!$G$5:$G$34,$U$369))</f>
        <v>plasterboard</v>
      </c>
      <c r="D372" s="11" t="n">
        <f aca="false">IF(B372="mass",INDEX(Library!$H$5:$H$34,$U$369)/1000,0)</f>
        <v>0.0125</v>
      </c>
      <c r="E372" s="7" t="n">
        <f aca="false">IF(B372="mass",INDEX(Materials!$B$5:$B$28,MATCH(C372,Materials!$A$5:$A$28,0)),0)</f>
        <v>0.21</v>
      </c>
      <c r="F372" s="7" t="n">
        <f aca="false">IF(B372="mass",INDEX(Materials!$C$5:$C$28,MATCH(C372,Materials!$A$5:$A$28,0)),0)</f>
        <v>700</v>
      </c>
      <c r="G372" s="7" t="n">
        <f aca="false">IF(B372="mass",INDEX(Materials!$D$5:$D$28,MATCH(C372,Materials!$A$5:$A$28,0)),0)</f>
        <v>1000</v>
      </c>
      <c r="H372" s="10" t="n">
        <f aca="false">IF(B372="res",INDEX(Library!$H$5:$H$34,$U$369),0)</f>
        <v>0</v>
      </c>
      <c r="I372" s="11" t="n">
        <f aca="false">IF(B372="mass",SQRT(E372*($B$2*3600)/(PI()*F372*G372)),0)</f>
        <v>0.0908327707927258</v>
      </c>
      <c r="J372" s="10" t="n">
        <f aca="false">IF(B372="mass",D372/I372,0)</f>
        <v>0.137615531166875</v>
      </c>
      <c r="K372" s="7" t="str">
        <f aca="false">IF(B372="mass",COMPLEX(COSH(J372)*COS(J372),SINH(J372)*SIN(J372)),COMPLEX(1,0))</f>
        <v>0.999940225193105+0.0189379589504749i</v>
      </c>
      <c r="L372" s="7" t="str">
        <f aca="false">IF(B372="mass",COMPLEX(-I372/(2*E372)*(SINH(J372)*COS(J372)+COSH(J372)*SIN(J372)),-I372/(2*E372)*(COSH(J372)*SIN(J372)-SINH(J372)*COS(J372))),COMPLEX(-H372,0))</f>
        <v>-0.0595230979186955-0.000375754009423939i</v>
      </c>
      <c r="M372" s="7" t="str">
        <f aca="false">IF(B372="mass",COMPLEX(-E372/I372*(SINH(J372)*COS(J372)-COSH(J372)*SIN(J372)),-E372/I372*(SINH(J372)*COS(J372)+COSH(J372)*SIN(J372))),COMPLEX(0,0))</f>
        <v>0.00401686359323574-0.636310349296785i</v>
      </c>
      <c r="N372" s="7" t="str">
        <f aca="false">K372</f>
        <v>0.999940225193105+0.0189379589504749i</v>
      </c>
      <c r="O372" s="7" t="str">
        <f aca="false">IMSUM(IMPRODUCT(K372,O371),IMPRODUCT(L372,Q371))</f>
        <v>0.999940225193105+0.0189379589504749i</v>
      </c>
      <c r="P372" s="7" t="str">
        <f aca="false">IMSUM(IMPRODUCT(K372,P371),IMPRODUCT(L372,R371))</f>
        <v>-0.1895153271938-0.00283768867298567i</v>
      </c>
      <c r="Q372" s="7" t="str">
        <f aca="false">IMSUM(IMPRODUCT(M372,O371),IMPRODUCT(N372,Q371))</f>
        <v>0.00401686359323574-0.636310349296785i</v>
      </c>
      <c r="R372" s="7" t="str">
        <f aca="false">IMSUM(IMPRODUCT(M372,P371),IMPRODUCT(N372,R371))</f>
        <v>0.999418032925984+0.101658304359057i</v>
      </c>
      <c r="S372" s="10" t="n">
        <f aca="false">IF(B372="mass",D372/E372,H372)</f>
        <v>0.0595238095238095</v>
      </c>
      <c r="T372" s="12" t="n">
        <f aca="false">IF(B372="mass",F372*G372*D372,0)</f>
        <v>8750</v>
      </c>
    </row>
    <row r="373" customFormat="false" ht="15" hidden="false" customHeight="false" outlineLevel="0" collapsed="false">
      <c r="A373" s="7" t="s">
        <v>44</v>
      </c>
      <c r="B373" s="7" t="str">
        <f aca="false">IF(C373="","none",IF(C373="Cavity","res","mass"))</f>
        <v>mass</v>
      </c>
      <c r="C373" s="7" t="str">
        <f aca="false">IF(INDEX(Library!$I$5:$I$34,$U$369)="","",INDEX(Library!$I$5:$I$34,$U$369))</f>
        <v>PIR</v>
      </c>
      <c r="D373" s="11" t="n">
        <f aca="false">IF(B373="mass",INDEX(Library!$J$5:$J$34,$U$369)/1000,0)</f>
        <v>0.08</v>
      </c>
      <c r="E373" s="7" t="n">
        <f aca="false">IF(B373="mass",INDEX(Materials!$B$5:$B$28,MATCH(C373,Materials!$A$5:$A$28,0)),0)</f>
        <v>0.022</v>
      </c>
      <c r="F373" s="7" t="n">
        <f aca="false">IF(B373="mass",INDEX(Materials!$C$5:$C$28,MATCH(C373,Materials!$A$5:$A$28,0)),0)</f>
        <v>30</v>
      </c>
      <c r="G373" s="7" t="n">
        <f aca="false">IF(B373="mass",INDEX(Materials!$D$5:$D$28,MATCH(C373,Materials!$A$5:$A$28,0)),0)</f>
        <v>1400</v>
      </c>
      <c r="H373" s="10" t="n">
        <f aca="false">IF(B373="res",INDEX(Library!$J$5:$J$34,$U$369),0)</f>
        <v>0</v>
      </c>
      <c r="I373" s="11" t="n">
        <f aca="false">IF(B373="mass",SQRT(E373*($B$2*3600)/(PI()*F373*G373)),0)</f>
        <v>0.120024147536488</v>
      </c>
      <c r="J373" s="10" t="n">
        <f aca="false">IF(B373="mass",D373/I373,0)</f>
        <v>0.666532540676278</v>
      </c>
      <c r="K373" s="7" t="str">
        <f aca="false">IF(B373="mass",COMPLEX(COSH(J373)*COS(J373),SINH(J373)*SIN(J373)),COMPLEX(1,0))</f>
        <v>0.967120132907035+0.443291496253778i</v>
      </c>
      <c r="L373" s="7" t="str">
        <f aca="false">IF(B373="mass",COMPLEX(-I373/(2*E373)*(SINH(J373)*COS(J373)+COSH(J373)*SIN(J373)),-I373/(2*E373)*(COSH(J373)*SIN(J373)-SINH(J373)*COS(J373))),COMPLEX(-H373,0))</f>
        <v>-3.61244600948936-0.537997720069351i</v>
      </c>
      <c r="M373" s="7" t="str">
        <f aca="false">IF(B373="mass",COMPLEX(-E373/I373*(SINH(J373)*COS(J373)-COSH(J373)*SIN(J373)),-E373/I373*(SINH(J373)*COS(J373)+COSH(J373)*SIN(J373))),COMPLEX(0,0))</f>
        <v>0.0361508515962169-0.242738946127061i</v>
      </c>
      <c r="N373" s="7" t="str">
        <f aca="false">K373</f>
        <v>0.967120132907035+0.443291496253778i</v>
      </c>
      <c r="O373" s="7" t="str">
        <f aca="false">IMSUM(IMPRODUCT(K373,O372),IMPRODUCT(L373,Q372))</f>
        <v>0.601823067292448+2.75805599862632i</v>
      </c>
      <c r="P373" s="7" t="str">
        <f aca="false">IMSUM(IMPRODUCT(K373,P372),IMPRODUCT(L373,R372))</f>
        <v>-3.73767791404973-0.991674677825036i</v>
      </c>
      <c r="Q373" s="7" t="str">
        <f aca="false">IMSUM(IMPRODUCT(M373,O372),IMPRODUCT(N373,Q372))</f>
        <v>0.326701427357176-0.855647721219413i</v>
      </c>
      <c r="R373" s="7" t="str">
        <f aca="false">IMSUM(IMPRODUCT(M373,P372),IMPRODUCT(N373,R372))</f>
        <v>0.913953080960608+0.587249473957457i</v>
      </c>
      <c r="S373" s="10" t="n">
        <f aca="false">IF(B373="mass",D373/E373,H373)</f>
        <v>3.63636363636364</v>
      </c>
      <c r="T373" s="12" t="n">
        <f aca="false">IF(B373="mass",F373*G373*D373,0)</f>
        <v>3360</v>
      </c>
    </row>
    <row r="374" customFormat="false" ht="15" hidden="false" customHeight="false" outlineLevel="0" collapsed="false">
      <c r="A374" s="7" t="s">
        <v>45</v>
      </c>
      <c r="B374" s="7" t="str">
        <f aca="false">IF(C374="","none",IF(C374="Cavity","res","mass"))</f>
        <v>mass</v>
      </c>
      <c r="C374" s="7" t="str">
        <f aca="false">IF(INDEX(Library!$K$5:$K$34,$U$369)="","",INDEX(Library!$K$5:$K$34,$U$369))</f>
        <v>brick</v>
      </c>
      <c r="D374" s="11" t="n">
        <f aca="false">IF(B374="mass",INDEX(Library!$L$5:$L$34,$U$369)/1000,0)</f>
        <v>0.215</v>
      </c>
      <c r="E374" s="7" t="n">
        <f aca="false">IF(B374="mass",INDEX(Materials!$B$5:$B$28,MATCH(C374,Materials!$A$5:$A$28,0)),0)</f>
        <v>0.77</v>
      </c>
      <c r="F374" s="7" t="n">
        <f aca="false">IF(B374="mass",INDEX(Materials!$C$5:$C$28,MATCH(C374,Materials!$A$5:$A$28,0)),0)</f>
        <v>1700</v>
      </c>
      <c r="G374" s="7" t="n">
        <f aca="false">IF(B374="mass",INDEX(Materials!$D$5:$D$28,MATCH(C374,Materials!$A$5:$A$28,0)),0)</f>
        <v>800</v>
      </c>
      <c r="H374" s="10" t="n">
        <f aca="false">IF(B374="res",INDEX(Library!$L$5:$L$34,$U$369),0)</f>
        <v>0</v>
      </c>
      <c r="I374" s="11" t="n">
        <f aca="false">IF(B374="mass",SQRT(E374*($B$2*3600)/(PI()*F374*G374)),0)</f>
        <v>0.12478369552018</v>
      </c>
      <c r="J374" s="10" t="n">
        <f aca="false">IF(B374="mass",D374/I374,0)</f>
        <v>1.72298150895227</v>
      </c>
      <c r="K374" s="7" t="str">
        <f aca="false">IF(B374="mass",COMPLEX(COSH(J374)*COS(J374),SINH(J374)*SIN(J374)),COMPLEX(1,0))</f>
        <v>-0.438099471725514+2.67999813033158i</v>
      </c>
      <c r="L374" s="7" t="str">
        <f aca="false">IF(B374="mass",COMPLEX(-I374/(2*E374)*(SINH(J374)*COS(J374)+COSH(J374)*SIN(J374)),-I374/(2*E374)*(COSH(J374)*SIN(J374)-SINH(J374)*COS(J374))),COMPLEX(-H374,0))</f>
        <v>-0.198149506677515-0.264760362935957i</v>
      </c>
      <c r="M374" s="7" t="str">
        <f aca="false">IF(B374="mass",COMPLEX(-E374/I374*(SINH(J374)*COS(J374)-COSH(J374)*SIN(J374)),-E374/I374*(SINH(J374)*COS(J374)+COSH(J374)*SIN(J374))),COMPLEX(0,0))</f>
        <v>20.1627018038932-15.0899831508906i</v>
      </c>
      <c r="N374" s="7" t="str">
        <f aca="false">K374</f>
        <v>-0.438099471725514+2.67999813033158i</v>
      </c>
      <c r="O374" s="7" t="str">
        <f aca="false">IMSUM(IMPRODUCT(K374,O373),IMPRODUCT(L374,Q373))</f>
        <v>-7.94652061539843+0.487630404517188i</v>
      </c>
      <c r="P374" s="7" t="str">
        <f aca="false">IMSUM(IMPRODUCT(K374,P373),IMPRODUCT(L374,R373))</f>
        <v>4.26954203383377-9.94085941193907i</v>
      </c>
      <c r="Q374" s="7" t="str">
        <f aca="false">IMSUM(IMPRODUCT(M374,O373),IMPRODUCT(N374,Q373))</f>
        <v>55.9034041633592+47.7787787426243i</v>
      </c>
      <c r="R374" s="7" t="str">
        <f aca="false">IMSUM(IMPRODUCT(M374,P373),IMPRODUCT(N374,R373))</f>
        <v>-92.3002692537219+38.5987747948817i</v>
      </c>
      <c r="S374" s="10" t="n">
        <f aca="false">IF(B374="mass",D374/E374,H374)</f>
        <v>0.279220779220779</v>
      </c>
      <c r="T374" s="12" t="n">
        <f aca="false">IF(B374="mass",F374*G374*D374,0)</f>
        <v>292400</v>
      </c>
    </row>
    <row r="375" customFormat="false" ht="15" hidden="false" customHeight="false" outlineLevel="0" collapsed="false">
      <c r="A375" s="7" t="s">
        <v>46</v>
      </c>
      <c r="B375" s="7" t="str">
        <f aca="false">IF(C375="","none",IF(C375="Cavity","res","mass"))</f>
        <v>none</v>
      </c>
      <c r="C375" s="7" t="str">
        <f aca="false">IF(INDEX(Library!$M$5:$M$34,$U$369)="","",INDEX(Library!$M$5:$M$34,$U$369))</f>
        <v/>
      </c>
      <c r="D375" s="11" t="n">
        <f aca="false">IF(B375="mass",INDEX(Library!$N$5:$N$34,$U$369)/1000,0)</f>
        <v>0</v>
      </c>
      <c r="E375" s="7" t="n">
        <f aca="false">IF(B375="mass",INDEX(Materials!$B$5:$B$28,MATCH(C375,Materials!$A$5:$A$28,0)),0)</f>
        <v>0</v>
      </c>
      <c r="F375" s="7" t="n">
        <f aca="false">IF(B375="mass",INDEX(Materials!$C$5:$C$28,MATCH(C375,Materials!$A$5:$A$28,0)),0)</f>
        <v>0</v>
      </c>
      <c r="G375" s="7" t="n">
        <f aca="false">IF(B375="mass",INDEX(Materials!$D$5:$D$28,MATCH(C375,Materials!$A$5:$A$28,0)),0)</f>
        <v>0</v>
      </c>
      <c r="H375" s="10" t="n">
        <f aca="false">IF(B375="res",INDEX(Library!$N$5:$N$34,$U$369),0)</f>
        <v>0</v>
      </c>
      <c r="I375" s="11" t="n">
        <f aca="false">IF(B375="mass",SQRT(E375*($B$2*3600)/(PI()*F375*G375)),0)</f>
        <v>0</v>
      </c>
      <c r="J375" s="10" t="n">
        <f aca="false">IF(B375="mass",D375/I375,0)</f>
        <v>0</v>
      </c>
      <c r="K375" s="7" t="str">
        <f aca="false">IF(B375="mass",COMPLEX(COSH(J375)*COS(J375),SINH(J375)*SIN(J375)),COMPLEX(1,0))</f>
        <v>1</v>
      </c>
      <c r="L375" s="7" t="str">
        <f aca="false">IF(B375="mass",COMPLEX(-I375/(2*E375)*(SINH(J375)*COS(J375)+COSH(J375)*SIN(J375)),-I375/(2*E375)*(COSH(J375)*SIN(J375)-SINH(J375)*COS(J375))),COMPLEX(-H375,0))</f>
        <v>-0</v>
      </c>
      <c r="M375" s="7" t="str">
        <f aca="false">IF(B375="mass",COMPLEX(-E375/I375*(SINH(J375)*COS(J375)-COSH(J375)*SIN(J375)),-E375/I375*(SINH(J375)*COS(J375)+COSH(J375)*SIN(J375))),COMPLEX(0,0))</f>
        <v>0</v>
      </c>
      <c r="N375" s="7" t="str">
        <f aca="false">K375</f>
        <v>1</v>
      </c>
      <c r="O375" s="7" t="str">
        <f aca="false">IMSUM(IMPRODUCT(K375,O374),IMPRODUCT(L375,Q374))</f>
        <v>-7.94652061539843+0.487630404517188i</v>
      </c>
      <c r="P375" s="7" t="str">
        <f aca="false">IMSUM(IMPRODUCT(K375,P374),IMPRODUCT(L375,R374))</f>
        <v>4.26954203383377-9.94085941193907i</v>
      </c>
      <c r="Q375" s="7" t="str">
        <f aca="false">IMSUM(IMPRODUCT(M375,O374),IMPRODUCT(N375,Q374))</f>
        <v>55.9034041633592+47.7787787426243i</v>
      </c>
      <c r="R375" s="7" t="str">
        <f aca="false">IMSUM(IMPRODUCT(M375,P374),IMPRODUCT(N375,R374))</f>
        <v>-92.3002692537219+38.5987747948817i</v>
      </c>
      <c r="S375" s="10" t="n">
        <f aca="false">IF(B375="mass",D375/E375,H375)</f>
        <v>0</v>
      </c>
      <c r="T375" s="12" t="n">
        <f aca="false">IF(B375="mass",F375*G375*D375,0)</f>
        <v>0</v>
      </c>
    </row>
    <row r="376" customFormat="false" ht="15" hidden="false" customHeight="false" outlineLevel="0" collapsed="false">
      <c r="A376" s="7" t="s">
        <v>47</v>
      </c>
      <c r="B376" s="7" t="str">
        <f aca="false">IF(C376="","none",IF(C376="Cavity","res","mass"))</f>
        <v>none</v>
      </c>
      <c r="C376" s="7" t="str">
        <f aca="false">IF(INDEX(Library!$O$5:$O$34,$U$369)="","",INDEX(Library!$O$5:$O$34,$U$369))</f>
        <v/>
      </c>
      <c r="D376" s="11" t="n">
        <f aca="false">IF(B376="mass",INDEX(Library!$P$5:$P$34,$U$369)/1000,0)</f>
        <v>0</v>
      </c>
      <c r="E376" s="7" t="n">
        <f aca="false">IF(B376="mass",INDEX(Materials!$B$5:$B$28,MATCH(C376,Materials!$A$5:$A$28,0)),0)</f>
        <v>0</v>
      </c>
      <c r="F376" s="7" t="n">
        <f aca="false">IF(B376="mass",INDEX(Materials!$C$5:$C$28,MATCH(C376,Materials!$A$5:$A$28,0)),0)</f>
        <v>0</v>
      </c>
      <c r="G376" s="7" t="n">
        <f aca="false">IF(B376="mass",INDEX(Materials!$D$5:$D$28,MATCH(C376,Materials!$A$5:$A$28,0)),0)</f>
        <v>0</v>
      </c>
      <c r="H376" s="10" t="n">
        <f aca="false">IF(B376="res",INDEX(Library!$P$5:$P$34,$U$369),0)</f>
        <v>0</v>
      </c>
      <c r="I376" s="11" t="n">
        <f aca="false">IF(B376="mass",SQRT(E376*($B$2*3600)/(PI()*F376*G376)),0)</f>
        <v>0</v>
      </c>
      <c r="J376" s="10" t="n">
        <f aca="false">IF(B376="mass",D376/I376,0)</f>
        <v>0</v>
      </c>
      <c r="K376" s="7" t="str">
        <f aca="false">IF(B376="mass",COMPLEX(COSH(J376)*COS(J376),SINH(J376)*SIN(J376)),COMPLEX(1,0))</f>
        <v>1</v>
      </c>
      <c r="L376" s="7" t="str">
        <f aca="false">IF(B376="mass",COMPLEX(-I376/(2*E376)*(SINH(J376)*COS(J376)+COSH(J376)*SIN(J376)),-I376/(2*E376)*(COSH(J376)*SIN(J376)-SINH(J376)*COS(J376))),COMPLEX(-H376,0))</f>
        <v>-0</v>
      </c>
      <c r="M376" s="7" t="str">
        <f aca="false">IF(B376="mass",COMPLEX(-E376/I376*(SINH(J376)*COS(J376)-COSH(J376)*SIN(J376)),-E376/I376*(SINH(J376)*COS(J376)+COSH(J376)*SIN(J376))),COMPLEX(0,0))</f>
        <v>0</v>
      </c>
      <c r="N376" s="7" t="str">
        <f aca="false">K376</f>
        <v>1</v>
      </c>
      <c r="O376" s="7" t="str">
        <f aca="false">IMSUM(IMPRODUCT(K376,O375),IMPRODUCT(L376,Q375))</f>
        <v>-7.94652061539843+0.487630404517188i</v>
      </c>
      <c r="P376" s="7" t="str">
        <f aca="false">IMSUM(IMPRODUCT(K376,P375),IMPRODUCT(L376,R375))</f>
        <v>4.26954203383377-9.94085941193907i</v>
      </c>
      <c r="Q376" s="7" t="str">
        <f aca="false">IMSUM(IMPRODUCT(M376,O375),IMPRODUCT(N376,Q375))</f>
        <v>55.9034041633592+47.7787787426243i</v>
      </c>
      <c r="R376" s="7" t="str">
        <f aca="false">IMSUM(IMPRODUCT(M376,P375),IMPRODUCT(N376,R375))</f>
        <v>-92.3002692537219+38.5987747948817i</v>
      </c>
      <c r="S376" s="10" t="n">
        <f aca="false">IF(B376="mass",D376/E376,H376)</f>
        <v>0</v>
      </c>
      <c r="T376" s="12" t="n">
        <f aca="false">IF(B376="mass",F376*G376*D376,0)</f>
        <v>0</v>
      </c>
    </row>
    <row r="377" customFormat="false" ht="15" hidden="false" customHeight="false" outlineLevel="0" collapsed="false">
      <c r="A377" s="7" t="s">
        <v>48</v>
      </c>
      <c r="B377" s="7" t="str">
        <f aca="false">IF(C377="","none",IF(C377="Cavity","res","mass"))</f>
        <v>none</v>
      </c>
      <c r="C377" s="7" t="str">
        <f aca="false">IF(INDEX(Library!$Q$5:$Q$34,$U$369)="","",INDEX(Library!$Q$5:$Q$34,$U$369))</f>
        <v/>
      </c>
      <c r="D377" s="11" t="n">
        <f aca="false">IF(B377="mass",INDEX(Library!$R$5:$R$34,$U$369)/1000,0)</f>
        <v>0</v>
      </c>
      <c r="E377" s="7" t="n">
        <f aca="false">IF(B377="mass",INDEX(Materials!$B$5:$B$28,MATCH(C377,Materials!$A$5:$A$28,0)),0)</f>
        <v>0</v>
      </c>
      <c r="F377" s="7" t="n">
        <f aca="false">IF(B377="mass",INDEX(Materials!$C$5:$C$28,MATCH(C377,Materials!$A$5:$A$28,0)),0)</f>
        <v>0</v>
      </c>
      <c r="G377" s="7" t="n">
        <f aca="false">IF(B377="mass",INDEX(Materials!$D$5:$D$28,MATCH(C377,Materials!$A$5:$A$28,0)),0)</f>
        <v>0</v>
      </c>
      <c r="H377" s="10" t="n">
        <f aca="false">IF(B377="res",INDEX(Library!$R$5:$R$34,$U$369),0)</f>
        <v>0</v>
      </c>
      <c r="I377" s="11" t="n">
        <f aca="false">IF(B377="mass",SQRT(E377*($B$2*3600)/(PI()*F377*G377)),0)</f>
        <v>0</v>
      </c>
      <c r="J377" s="10" t="n">
        <f aca="false">IF(B377="mass",D377/I377,0)</f>
        <v>0</v>
      </c>
      <c r="K377" s="7" t="str">
        <f aca="false">IF(B377="mass",COMPLEX(COSH(J377)*COS(J377),SINH(J377)*SIN(J377)),COMPLEX(1,0))</f>
        <v>1</v>
      </c>
      <c r="L377" s="7" t="str">
        <f aca="false">IF(B377="mass",COMPLEX(-I377/(2*E377)*(SINH(J377)*COS(J377)+COSH(J377)*SIN(J377)),-I377/(2*E377)*(COSH(J377)*SIN(J377)-SINH(J377)*COS(J377))),COMPLEX(-H377,0))</f>
        <v>-0</v>
      </c>
      <c r="M377" s="7" t="str">
        <f aca="false">IF(B377="mass",COMPLEX(-E377/I377*(SINH(J377)*COS(J377)-COSH(J377)*SIN(J377)),-E377/I377*(SINH(J377)*COS(J377)+COSH(J377)*SIN(J377))),COMPLEX(0,0))</f>
        <v>0</v>
      </c>
      <c r="N377" s="7" t="str">
        <f aca="false">K377</f>
        <v>1</v>
      </c>
      <c r="O377" s="7" t="str">
        <f aca="false">IMSUM(IMPRODUCT(K377,O376),IMPRODUCT(L377,Q376))</f>
        <v>-7.94652061539843+0.487630404517188i</v>
      </c>
      <c r="P377" s="7" t="str">
        <f aca="false">IMSUM(IMPRODUCT(K377,P376),IMPRODUCT(L377,R376))</f>
        <v>4.26954203383377-9.94085941193907i</v>
      </c>
      <c r="Q377" s="7" t="str">
        <f aca="false">IMSUM(IMPRODUCT(M377,O376),IMPRODUCT(N377,Q376))</f>
        <v>55.9034041633592+47.7787787426243i</v>
      </c>
      <c r="R377" s="7" t="str">
        <f aca="false">IMSUM(IMPRODUCT(M377,P376),IMPRODUCT(N377,R376))</f>
        <v>-92.3002692537219+38.5987747948817i</v>
      </c>
      <c r="S377" s="10" t="n">
        <f aca="false">IF(B377="mass",D377/E377,H377)</f>
        <v>0</v>
      </c>
      <c r="T377" s="12" t="n">
        <f aca="false">IF(B377="mass",F377*G377*D377,0)</f>
        <v>0</v>
      </c>
    </row>
    <row r="378" customFormat="false" ht="15" hidden="false" customHeight="false" outlineLevel="0" collapsed="false">
      <c r="A378" s="7" t="s">
        <v>49</v>
      </c>
      <c r="B378" s="7" t="str">
        <f aca="false">IF(C378="","none",IF(C378="Cavity","res","mass"))</f>
        <v>none</v>
      </c>
      <c r="C378" s="7" t="str">
        <f aca="false">IF(INDEX(Library!$S$5:$S$34,$U$369)="","",INDEX(Library!$S$5:$S$34,$U$369))</f>
        <v/>
      </c>
      <c r="D378" s="11" t="n">
        <f aca="false">IF(B378="mass",INDEX(Library!$T$5:$T$34,$U$369)/1000,0)</f>
        <v>0</v>
      </c>
      <c r="E378" s="7" t="n">
        <f aca="false">IF(B378="mass",INDEX(Materials!$B$5:$B$28,MATCH(C378,Materials!$A$5:$A$28,0)),0)</f>
        <v>0</v>
      </c>
      <c r="F378" s="7" t="n">
        <f aca="false">IF(B378="mass",INDEX(Materials!$C$5:$C$28,MATCH(C378,Materials!$A$5:$A$28,0)),0)</f>
        <v>0</v>
      </c>
      <c r="G378" s="7" t="n">
        <f aca="false">IF(B378="mass",INDEX(Materials!$D$5:$D$28,MATCH(C378,Materials!$A$5:$A$28,0)),0)</f>
        <v>0</v>
      </c>
      <c r="H378" s="10" t="n">
        <f aca="false">IF(B378="res",INDEX(Library!$T$5:$T$34,$U$369),0)</f>
        <v>0</v>
      </c>
      <c r="I378" s="11" t="n">
        <f aca="false">IF(B378="mass",SQRT(E378*($B$2*3600)/(PI()*F378*G378)),0)</f>
        <v>0</v>
      </c>
      <c r="J378" s="10" t="n">
        <f aca="false">IF(B378="mass",D378/I378,0)</f>
        <v>0</v>
      </c>
      <c r="K378" s="7" t="str">
        <f aca="false">IF(B378="mass",COMPLEX(COSH(J378)*COS(J378),SINH(J378)*SIN(J378)),COMPLEX(1,0))</f>
        <v>1</v>
      </c>
      <c r="L378" s="7" t="str">
        <f aca="false">IF(B378="mass",COMPLEX(-I378/(2*E378)*(SINH(J378)*COS(J378)+COSH(J378)*SIN(J378)),-I378/(2*E378)*(COSH(J378)*SIN(J378)-SINH(J378)*COS(J378))),COMPLEX(-H378,0))</f>
        <v>-0</v>
      </c>
      <c r="M378" s="7" t="str">
        <f aca="false">IF(B378="mass",COMPLEX(-E378/I378*(SINH(J378)*COS(J378)-COSH(J378)*SIN(J378)),-E378/I378*(SINH(J378)*COS(J378)+COSH(J378)*SIN(J378))),COMPLEX(0,0))</f>
        <v>0</v>
      </c>
      <c r="N378" s="7" t="str">
        <f aca="false">K378</f>
        <v>1</v>
      </c>
      <c r="O378" s="7" t="str">
        <f aca="false">IMSUM(IMPRODUCT(K378,O377),IMPRODUCT(L378,Q377))</f>
        <v>-7.94652061539843+0.487630404517188i</v>
      </c>
      <c r="P378" s="7" t="str">
        <f aca="false">IMSUM(IMPRODUCT(K378,P377),IMPRODUCT(L378,R377))</f>
        <v>4.26954203383377-9.94085941193907i</v>
      </c>
      <c r="Q378" s="7" t="str">
        <f aca="false">IMSUM(IMPRODUCT(M378,O377),IMPRODUCT(N378,Q377))</f>
        <v>55.9034041633592+47.7787787426243i</v>
      </c>
      <c r="R378" s="7" t="str">
        <f aca="false">IMSUM(IMPRODUCT(M378,P377),IMPRODUCT(N378,R377))</f>
        <v>-92.3002692537219+38.5987747948817i</v>
      </c>
      <c r="S378" s="10" t="n">
        <f aca="false">IF(B378="mass",D378/E378,H378)</f>
        <v>0</v>
      </c>
      <c r="T378" s="12" t="n">
        <f aca="false">IF(B378="mass",F378*G378*D378,0)</f>
        <v>0</v>
      </c>
    </row>
    <row r="379" customFormat="false" ht="15" hidden="false" customHeight="false" outlineLevel="0" collapsed="false">
      <c r="A379" s="7" t="s">
        <v>50</v>
      </c>
      <c r="B379" s="7" t="str">
        <f aca="false">IF(C379="","none",IF(C379="Cavity","res","mass"))</f>
        <v>none</v>
      </c>
      <c r="C379" s="7" t="str">
        <f aca="false">IF(INDEX(Library!$U$5:$U$34,$U$369)="","",INDEX(Library!$U$5:$U$34,$U$369))</f>
        <v/>
      </c>
      <c r="D379" s="11" t="n">
        <f aca="false">IF(B379="mass",INDEX(Library!$V$5:$V$34,$U$369)/1000,0)</f>
        <v>0</v>
      </c>
      <c r="E379" s="7" t="n">
        <f aca="false">IF(B379="mass",INDEX(Materials!$B$5:$B$28,MATCH(C379,Materials!$A$5:$A$28,0)),0)</f>
        <v>0</v>
      </c>
      <c r="F379" s="7" t="n">
        <f aca="false">IF(B379="mass",INDEX(Materials!$C$5:$C$28,MATCH(C379,Materials!$A$5:$A$28,0)),0)</f>
        <v>0</v>
      </c>
      <c r="G379" s="7" t="n">
        <f aca="false">IF(B379="mass",INDEX(Materials!$D$5:$D$28,MATCH(C379,Materials!$A$5:$A$28,0)),0)</f>
        <v>0</v>
      </c>
      <c r="H379" s="10" t="n">
        <f aca="false">IF(B379="res",INDEX(Library!$V$5:$V$34,$U$369),0)</f>
        <v>0</v>
      </c>
      <c r="I379" s="11" t="n">
        <f aca="false">IF(B379="mass",SQRT(E379*($B$2*3600)/(PI()*F379*G379)),0)</f>
        <v>0</v>
      </c>
      <c r="J379" s="10" t="n">
        <f aca="false">IF(B379="mass",D379/I379,0)</f>
        <v>0</v>
      </c>
      <c r="K379" s="7" t="str">
        <f aca="false">IF(B379="mass",COMPLEX(COSH(J379)*COS(J379),SINH(J379)*SIN(J379)),COMPLEX(1,0))</f>
        <v>1</v>
      </c>
      <c r="L379" s="7" t="str">
        <f aca="false">IF(B379="mass",COMPLEX(-I379/(2*E379)*(SINH(J379)*COS(J379)+COSH(J379)*SIN(J379)),-I379/(2*E379)*(COSH(J379)*SIN(J379)-SINH(J379)*COS(J379))),COMPLEX(-H379,0))</f>
        <v>-0</v>
      </c>
      <c r="M379" s="7" t="str">
        <f aca="false">IF(B379="mass",COMPLEX(-E379/I379*(SINH(J379)*COS(J379)-COSH(J379)*SIN(J379)),-E379/I379*(SINH(J379)*COS(J379)+COSH(J379)*SIN(J379))),COMPLEX(0,0))</f>
        <v>0</v>
      </c>
      <c r="N379" s="7" t="str">
        <f aca="false">K379</f>
        <v>1</v>
      </c>
      <c r="O379" s="7" t="str">
        <f aca="false">IMSUM(IMPRODUCT(K379,O378),IMPRODUCT(L379,Q378))</f>
        <v>-7.94652061539843+0.487630404517188i</v>
      </c>
      <c r="P379" s="7" t="str">
        <f aca="false">IMSUM(IMPRODUCT(K379,P378),IMPRODUCT(L379,R378))</f>
        <v>4.26954203383377-9.94085941193907i</v>
      </c>
      <c r="Q379" s="7" t="str">
        <f aca="false">IMSUM(IMPRODUCT(M379,O378),IMPRODUCT(N379,Q378))</f>
        <v>55.9034041633592+47.7787787426243i</v>
      </c>
      <c r="R379" s="7" t="str">
        <f aca="false">IMSUM(IMPRODUCT(M379,P378),IMPRODUCT(N379,R378))</f>
        <v>-92.3002692537219+38.5987747948817i</v>
      </c>
      <c r="S379" s="10" t="n">
        <f aca="false">IF(B379="mass",D379/E379,H379)</f>
        <v>0</v>
      </c>
      <c r="T379" s="12" t="n">
        <f aca="false">IF(B379="mass",F379*G379*D379,0)</f>
        <v>0</v>
      </c>
    </row>
    <row r="380" customFormat="false" ht="15" hidden="false" customHeight="false" outlineLevel="0" collapsed="false">
      <c r="A380" s="7" t="s">
        <v>51</v>
      </c>
      <c r="B380" s="7" t="str">
        <f aca="false">IF($W$369="ground","mass",IF($W$369="adiabatic","res","none"))</f>
        <v>none</v>
      </c>
      <c r="C380" s="7" t="str">
        <f aca="false">IF($W$369="ground","clay soil","")</f>
        <v/>
      </c>
      <c r="D380" s="11" t="n">
        <f aca="false">IF(B380="mass",1,0)</f>
        <v>0</v>
      </c>
      <c r="E380" s="7" t="n">
        <f aca="false">IF(B380="mass",INDEX(Materials!$B$5:$B$28,MATCH(C380,Materials!$A$5:$A$28,0)),0)</f>
        <v>0</v>
      </c>
      <c r="F380" s="7" t="n">
        <f aca="false">IF(B380="mass",INDEX(Materials!$C$5:$C$28,MATCH(C380,Materials!$A$5:$A$28,0)),0)</f>
        <v>0</v>
      </c>
      <c r="G380" s="7" t="n">
        <f aca="false">IF(B380="mass",INDEX(Materials!$D$5:$D$28,MATCH(C380,Materials!$A$5:$A$28,0)),0)</f>
        <v>0</v>
      </c>
      <c r="H380" s="12" t="n">
        <f aca="false">IF(B380="res",1000000,0)</f>
        <v>0</v>
      </c>
      <c r="I380" s="11" t="n">
        <f aca="false">IF(B380="mass",SQRT(E380*($B$2*3600)/(PI()*F380*G380)),0)</f>
        <v>0</v>
      </c>
      <c r="J380" s="10" t="n">
        <f aca="false">IF(B380="mass",D380/I380,0)</f>
        <v>0</v>
      </c>
      <c r="K380" s="7" t="str">
        <f aca="false">IF(B380="mass",COMPLEX(COSH(J380)*COS(J380),SINH(J380)*SIN(J380)),COMPLEX(1,0))</f>
        <v>1</v>
      </c>
      <c r="L380" s="7" t="str">
        <f aca="false">IF(B380="mass",COMPLEX(-I380/(2*E380)*(SINH(J380)*COS(J380)+COSH(J380)*SIN(J380)),-I380/(2*E380)*(COSH(J380)*SIN(J380)-SINH(J380)*COS(J380))),COMPLEX(-H380,0))</f>
        <v>-0</v>
      </c>
      <c r="M380" s="7" t="str">
        <f aca="false">IF(B380="mass",COMPLEX(-E380/I380*(SINH(J380)*COS(J380)-COSH(J380)*SIN(J380)),-E380/I380*(SINH(J380)*COS(J380)+COSH(J380)*SIN(J380))),COMPLEX(0,0))</f>
        <v>0</v>
      </c>
      <c r="N380" s="7" t="str">
        <f aca="false">K380</f>
        <v>1</v>
      </c>
      <c r="O380" s="7" t="str">
        <f aca="false">IMSUM(IMPRODUCT(K380,O379),IMPRODUCT(L380,Q379))</f>
        <v>-7.94652061539843+0.487630404517188i</v>
      </c>
      <c r="P380" s="7" t="str">
        <f aca="false">IMSUM(IMPRODUCT(K380,P379),IMPRODUCT(L380,R379))</f>
        <v>4.26954203383377-9.94085941193907i</v>
      </c>
      <c r="Q380" s="7" t="str">
        <f aca="false">IMSUM(IMPRODUCT(M380,O379),IMPRODUCT(N380,Q379))</f>
        <v>55.9034041633592+47.7787787426243i</v>
      </c>
      <c r="R380" s="7" t="str">
        <f aca="false">IMSUM(IMPRODUCT(M380,P379),IMPRODUCT(N380,R379))</f>
        <v>-92.3002692537219+38.5987747948817i</v>
      </c>
      <c r="S380" s="10" t="n">
        <f aca="false">IF(B380="mass",D380/E380,H380)</f>
        <v>0</v>
      </c>
      <c r="T380" s="12" t="n">
        <f aca="false">IF(B380="mass",F380*G380*D380,0)</f>
        <v>0</v>
      </c>
    </row>
    <row r="381" customFormat="false" ht="15" hidden="false" customHeight="false" outlineLevel="0" collapsed="false">
      <c r="A381" s="7" t="s">
        <v>52</v>
      </c>
      <c r="B381" s="7" t="s">
        <v>42</v>
      </c>
      <c r="H381" s="10" t="n">
        <f aca="false">IF($W$369="ext",0.04,IF($W$369="room",$Y$369,0))</f>
        <v>0.04</v>
      </c>
      <c r="I381" s="11" t="n">
        <f aca="false">IF(B381="mass",SQRT(E381*($B$2*3600)/(PI()*F381*G381)),0)</f>
        <v>0</v>
      </c>
      <c r="J381" s="10" t="n">
        <f aca="false">IF(B381="mass",D381/I381,0)</f>
        <v>0</v>
      </c>
      <c r="K381" s="7" t="str">
        <f aca="false">IF(B381="mass",COMPLEX(COSH(J381)*COS(J381),SINH(J381)*SIN(J381)),COMPLEX(1,0))</f>
        <v>1</v>
      </c>
      <c r="L381" s="7" t="str">
        <f aca="false">IF(B381="mass",COMPLEX(-I381/(2*E381)*(SINH(J381)*COS(J381)+COSH(J381)*SIN(J381)),-I381/(2*E381)*(COSH(J381)*SIN(J381)-SINH(J381)*COS(J381))),COMPLEX(-H381,0))</f>
        <v>-0.04</v>
      </c>
      <c r="M381" s="7" t="str">
        <f aca="false">IF(B381="mass",COMPLEX(-E381/I381*(SINH(J381)*COS(J381)-COSH(J381)*SIN(J381)),-E381/I381*(SINH(J381)*COS(J381)+COSH(J381)*SIN(J381))),COMPLEX(0,0))</f>
        <v>0</v>
      </c>
      <c r="N381" s="7" t="str">
        <f aca="false">K381</f>
        <v>1</v>
      </c>
      <c r="O381" s="7" t="str">
        <f aca="false">IMSUM(IMPRODUCT(K381,O380),IMPRODUCT(L381,Q380))</f>
        <v>-10.1826567819328-1.42352074518778i</v>
      </c>
      <c r="P381" s="7" t="str">
        <f aca="false">IMSUM(IMPRODUCT(K381,P380),IMPRODUCT(L381,R380))</f>
        <v>7.96155280398265-11.4848104037343i</v>
      </c>
      <c r="Q381" s="7" t="str">
        <f aca="false">IMSUM(IMPRODUCT(M381,O380),IMPRODUCT(N381,Q380))</f>
        <v>55.9034041633592+47.7787787426243i</v>
      </c>
      <c r="R381" s="7" t="str">
        <f aca="false">IMSUM(IMPRODUCT(M381,P380),IMPRODUCT(N381,R380))</f>
        <v>-92.3002692537219+38.5987747948817i</v>
      </c>
      <c r="S381" s="10" t="n">
        <f aca="false">IF(B381="mass",D381/E381,H381)</f>
        <v>0.04</v>
      </c>
      <c r="T381" s="12" t="n">
        <f aca="false">IF(B381="mass",F381*G381*D381,0)</f>
        <v>0</v>
      </c>
    </row>
    <row r="382" customFormat="false" ht="15" hidden="false" customHeight="false" outlineLevel="0" collapsed="false">
      <c r="A382" s="9" t="s">
        <v>53</v>
      </c>
      <c r="B382" s="13" t="n">
        <f aca="false">IF(OR($W$369="ext",$W$369="ground"),1/SUM(S371:S381),"–")</f>
        <v>0.241248224580165</v>
      </c>
      <c r="C382" s="9" t="s">
        <v>54</v>
      </c>
      <c r="D382" s="13" t="n">
        <f aca="false">IMABS(IMDIV(IMPRODUCT(O381,COMPLEX(-1,0)),P381))</f>
        <v>0.73574468479199</v>
      </c>
      <c r="E382" s="9" t="s">
        <v>55</v>
      </c>
      <c r="F382" s="14" t="n">
        <f aca="false">IMARGUMENT(IMDIV(IMPRODUCT(O381,COMPLEX(-1,0)),P381))*$B$2/(2*PI())</f>
        <v>4.2151759540183</v>
      </c>
      <c r="G382" s="9" t="s">
        <v>56</v>
      </c>
      <c r="H382" s="13" t="n">
        <f aca="false">IF($W$369="ext",IMABS(IMDIV(COMPLEX(-1,0),P381))*SUM(S371:S381),"–")</f>
        <v>0.296619017806609</v>
      </c>
      <c r="I382" s="9" t="s">
        <v>57</v>
      </c>
      <c r="J382" s="14" t="n">
        <f aca="false">IF($W$369="ext",MOD(-IMARGUMENT(IMDIV(COMPLEX(-1,0),P381))*$B$2/(2*PI()),24),"–")</f>
        <v>8.31537672817197</v>
      </c>
      <c r="K382" s="9" t="s">
        <v>58</v>
      </c>
      <c r="L382" s="15" t="n">
        <f aca="false">($B$2*3600)/(2*PI())*IMABS(IMDIV(IMSUB(O381,COMPLEX(1,0)),P381))/1000</f>
        <v>11.0925797787899</v>
      </c>
      <c r="M382" s="9" t="s">
        <v>59</v>
      </c>
      <c r="N382" s="15" t="n">
        <f aca="false">SUM(T372:T379)/1000</f>
        <v>304.51</v>
      </c>
      <c r="O382" s="9" t="s">
        <v>60</v>
      </c>
      <c r="P382" s="16" t="n">
        <f aca="false">SUM(S372:S379)</f>
        <v>3.97510822510823</v>
      </c>
    </row>
    <row r="384" customFormat="false" ht="15" hidden="false" customHeight="false" outlineLevel="0" collapsed="false">
      <c r="A384" s="4" t="s">
        <v>107</v>
      </c>
    </row>
    <row r="385" customFormat="false" ht="15" hidden="false" customHeight="false" outlineLevel="0" collapsed="false">
      <c r="A385" s="9"/>
      <c r="B385" s="9" t="s">
        <v>62</v>
      </c>
      <c r="C385" s="9" t="s">
        <v>63</v>
      </c>
      <c r="D385" s="9"/>
      <c r="E385" s="9"/>
      <c r="F385" s="9"/>
      <c r="G385" s="9"/>
      <c r="H385" s="9"/>
      <c r="I385" s="9"/>
      <c r="J385" s="9"/>
      <c r="K385" s="9" t="s">
        <v>32</v>
      </c>
      <c r="L385" s="9" t="s">
        <v>33</v>
      </c>
      <c r="M385" s="9" t="s">
        <v>34</v>
      </c>
      <c r="N385" s="9" t="s">
        <v>35</v>
      </c>
      <c r="O385" s="9" t="s">
        <v>36</v>
      </c>
      <c r="P385" s="9" t="s">
        <v>37</v>
      </c>
      <c r="Q385" s="9" t="s">
        <v>38</v>
      </c>
      <c r="R385" s="9" t="s">
        <v>39</v>
      </c>
    </row>
    <row r="386" customFormat="false" ht="15" hidden="false" customHeight="false" outlineLevel="0" collapsed="false">
      <c r="A386" s="7" t="s">
        <v>22</v>
      </c>
      <c r="B386" s="7" t="s">
        <v>42</v>
      </c>
      <c r="C386" s="10" t="n">
        <f aca="false">$Y$369</f>
        <v>0.13</v>
      </c>
      <c r="K386" s="7" t="str">
        <f aca="false">COMPLEX(1,0)</f>
        <v>1</v>
      </c>
      <c r="L386" s="7" t="str">
        <f aca="false">COMPLEX(-C386,0)</f>
        <v>-0.13</v>
      </c>
      <c r="M386" s="7" t="str">
        <f aca="false">COMPLEX(0,0)</f>
        <v>0</v>
      </c>
      <c r="N386" s="7" t="str">
        <f aca="false">COMPLEX(1,0)</f>
        <v>1</v>
      </c>
      <c r="O386" s="7" t="str">
        <f aca="false">K386</f>
        <v>1</v>
      </c>
      <c r="P386" s="7" t="str">
        <f aca="false">L386</f>
        <v>-0.13</v>
      </c>
      <c r="Q386" s="7" t="str">
        <f aca="false">M386</f>
        <v>0</v>
      </c>
      <c r="R386" s="7" t="str">
        <f aca="false">N386</f>
        <v>1</v>
      </c>
    </row>
    <row r="387" customFormat="false" ht="15" hidden="false" customHeight="false" outlineLevel="0" collapsed="false">
      <c r="A387" s="7" t="s">
        <v>64</v>
      </c>
      <c r="B387" s="7" t="s">
        <v>65</v>
      </c>
      <c r="C387" s="10" t="n">
        <f aca="false">INDEX(Classes!$B$5:$F$9,MATCH(Engine!$C$368,Classes!$A$5:$A$9,0),5)*(N382*1000)</f>
        <v>0</v>
      </c>
      <c r="K387" s="7" t="str">
        <f aca="false">COMPLEX(1,0)</f>
        <v>1</v>
      </c>
      <c r="L387" s="7" t="str">
        <f aca="false">COMPLEX(0,0)</f>
        <v>0</v>
      </c>
      <c r="M387" s="7" t="str">
        <f aca="false">COMPLEX(0,-(2*PI()/($B$2*3600))*C387)</f>
        <v>0</v>
      </c>
      <c r="N387" s="7" t="str">
        <f aca="false">COMPLEX(1,0)</f>
        <v>1</v>
      </c>
      <c r="O387" s="7" t="str">
        <f aca="false">IMSUM(IMPRODUCT(K387,O386),IMPRODUCT(L387,Q386))</f>
        <v>1</v>
      </c>
      <c r="P387" s="7" t="str">
        <f aca="false">IMSUM(IMPRODUCT(K387,P386),IMPRODUCT(L387,R386))</f>
        <v>-0.13</v>
      </c>
      <c r="Q387" s="7" t="str">
        <f aca="false">IMSUM(IMPRODUCT(M387,O386),IMPRODUCT(N387,Q386))</f>
        <v>0</v>
      </c>
      <c r="R387" s="7" t="str">
        <f aca="false">IMSUM(IMPRODUCT(M387,P386),IMPRODUCT(N387,R386))</f>
        <v>1</v>
      </c>
    </row>
    <row r="388" customFormat="false" ht="15" hidden="false" customHeight="false" outlineLevel="0" collapsed="false">
      <c r="A388" s="7" t="s">
        <v>66</v>
      </c>
      <c r="B388" s="7" t="s">
        <v>42</v>
      </c>
      <c r="C388" s="10" t="n">
        <f aca="false">P382/6</f>
        <v>0.662518037518038</v>
      </c>
      <c r="K388" s="7" t="str">
        <f aca="false">COMPLEX(1,0)</f>
        <v>1</v>
      </c>
      <c r="L388" s="7" t="str">
        <f aca="false">COMPLEX(-C388,0)</f>
        <v>-0.662518037518038</v>
      </c>
      <c r="M388" s="7" t="str">
        <f aca="false">COMPLEX(0,0)</f>
        <v>0</v>
      </c>
      <c r="N388" s="7" t="str">
        <f aca="false">COMPLEX(1,0)</f>
        <v>1</v>
      </c>
      <c r="O388" s="7" t="str">
        <f aca="false">IMSUM(IMPRODUCT(K388,O387),IMPRODUCT(L388,Q387))</f>
        <v>1</v>
      </c>
      <c r="P388" s="7" t="str">
        <f aca="false">IMSUM(IMPRODUCT(K388,P387),IMPRODUCT(L388,R387))</f>
        <v>-0.792518037518038</v>
      </c>
      <c r="Q388" s="7" t="str">
        <f aca="false">IMSUM(IMPRODUCT(M388,O387),IMPRODUCT(N388,Q387))</f>
        <v>0</v>
      </c>
      <c r="R388" s="7" t="str">
        <f aca="false">IMSUM(IMPRODUCT(M388,P387),IMPRODUCT(N388,R387))</f>
        <v>1</v>
      </c>
    </row>
    <row r="389" customFormat="false" ht="15" hidden="false" customHeight="false" outlineLevel="0" collapsed="false">
      <c r="A389" s="7" t="s">
        <v>67</v>
      </c>
      <c r="B389" s="7" t="s">
        <v>65</v>
      </c>
      <c r="C389" s="10" t="n">
        <f aca="false">INDEX(Classes!$B$5:$F$9,MATCH(Engine!$C$368,Classes!$A$5:$A$9,0),4)*(N382*1000)</f>
        <v>0</v>
      </c>
      <c r="K389" s="7" t="str">
        <f aca="false">COMPLEX(1,0)</f>
        <v>1</v>
      </c>
      <c r="L389" s="7" t="str">
        <f aca="false">COMPLEX(0,0)</f>
        <v>0</v>
      </c>
      <c r="M389" s="7" t="str">
        <f aca="false">COMPLEX(0,-(2*PI()/($B$2*3600))*C389)</f>
        <v>0</v>
      </c>
      <c r="N389" s="7" t="str">
        <f aca="false">COMPLEX(1,0)</f>
        <v>1</v>
      </c>
      <c r="O389" s="7" t="str">
        <f aca="false">IMSUM(IMPRODUCT(K389,O388),IMPRODUCT(L389,Q388))</f>
        <v>1</v>
      </c>
      <c r="P389" s="7" t="str">
        <f aca="false">IMSUM(IMPRODUCT(K389,P388),IMPRODUCT(L389,R388))</f>
        <v>-0.792518037518038</v>
      </c>
      <c r="Q389" s="7" t="str">
        <f aca="false">IMSUM(IMPRODUCT(M389,O388),IMPRODUCT(N389,Q388))</f>
        <v>0</v>
      </c>
      <c r="R389" s="7" t="str">
        <f aca="false">IMSUM(IMPRODUCT(M389,P388),IMPRODUCT(N389,R388))</f>
        <v>1</v>
      </c>
    </row>
    <row r="390" customFormat="false" ht="15" hidden="false" customHeight="false" outlineLevel="0" collapsed="false">
      <c r="A390" s="7" t="s">
        <v>68</v>
      </c>
      <c r="B390" s="7" t="s">
        <v>42</v>
      </c>
      <c r="C390" s="10" t="n">
        <f aca="false">P382/3</f>
        <v>1.32503607503608</v>
      </c>
      <c r="K390" s="7" t="str">
        <f aca="false">COMPLEX(1,0)</f>
        <v>1</v>
      </c>
      <c r="L390" s="7" t="str">
        <f aca="false">COMPLEX(-C390,0)</f>
        <v>-1.32503607503608</v>
      </c>
      <c r="M390" s="7" t="str">
        <f aca="false">COMPLEX(0,0)</f>
        <v>0</v>
      </c>
      <c r="N390" s="7" t="str">
        <f aca="false">COMPLEX(1,0)</f>
        <v>1</v>
      </c>
      <c r="O390" s="7" t="str">
        <f aca="false">IMSUM(IMPRODUCT(K390,O389),IMPRODUCT(L390,Q389))</f>
        <v>1</v>
      </c>
      <c r="P390" s="7" t="str">
        <f aca="false">IMSUM(IMPRODUCT(K390,P389),IMPRODUCT(L390,R389))</f>
        <v>-2.11755411255412</v>
      </c>
      <c r="Q390" s="7" t="str">
        <f aca="false">IMSUM(IMPRODUCT(M390,O389),IMPRODUCT(N390,Q389))</f>
        <v>0</v>
      </c>
      <c r="R390" s="7" t="str">
        <f aca="false">IMSUM(IMPRODUCT(M390,P389),IMPRODUCT(N390,R389))</f>
        <v>1</v>
      </c>
    </row>
    <row r="391" customFormat="false" ht="15" hidden="false" customHeight="false" outlineLevel="0" collapsed="false">
      <c r="A391" s="7" t="s">
        <v>69</v>
      </c>
      <c r="B391" s="7" t="s">
        <v>65</v>
      </c>
      <c r="C391" s="10" t="n">
        <f aca="false">INDEX(Classes!$B$5:$F$9,MATCH(Engine!$C$368,Classes!$A$5:$A$9,0),3)*(N382*1000)</f>
        <v>0</v>
      </c>
      <c r="K391" s="7" t="str">
        <f aca="false">COMPLEX(1,0)</f>
        <v>1</v>
      </c>
      <c r="L391" s="7" t="str">
        <f aca="false">COMPLEX(0,0)</f>
        <v>0</v>
      </c>
      <c r="M391" s="7" t="str">
        <f aca="false">COMPLEX(0,-(2*PI()/($B$2*3600))*C391)</f>
        <v>0</v>
      </c>
      <c r="N391" s="7" t="str">
        <f aca="false">COMPLEX(1,0)</f>
        <v>1</v>
      </c>
      <c r="O391" s="7" t="str">
        <f aca="false">IMSUM(IMPRODUCT(K391,O390),IMPRODUCT(L391,Q390))</f>
        <v>1</v>
      </c>
      <c r="P391" s="7" t="str">
        <f aca="false">IMSUM(IMPRODUCT(K391,P390),IMPRODUCT(L391,R390))</f>
        <v>-2.11755411255412</v>
      </c>
      <c r="Q391" s="7" t="str">
        <f aca="false">IMSUM(IMPRODUCT(M391,O390),IMPRODUCT(N391,Q390))</f>
        <v>0</v>
      </c>
      <c r="R391" s="7" t="str">
        <f aca="false">IMSUM(IMPRODUCT(M391,P390),IMPRODUCT(N391,R390))</f>
        <v>1</v>
      </c>
    </row>
    <row r="392" customFormat="false" ht="15" hidden="false" customHeight="false" outlineLevel="0" collapsed="false">
      <c r="A392" s="7" t="s">
        <v>68</v>
      </c>
      <c r="B392" s="7" t="s">
        <v>42</v>
      </c>
      <c r="C392" s="10" t="n">
        <f aca="false">P382/3</f>
        <v>1.32503607503608</v>
      </c>
      <c r="K392" s="7" t="str">
        <f aca="false">COMPLEX(1,0)</f>
        <v>1</v>
      </c>
      <c r="L392" s="7" t="str">
        <f aca="false">COMPLEX(-C392,0)</f>
        <v>-1.32503607503608</v>
      </c>
      <c r="M392" s="7" t="str">
        <f aca="false">COMPLEX(0,0)</f>
        <v>0</v>
      </c>
      <c r="N392" s="7" t="str">
        <f aca="false">COMPLEX(1,0)</f>
        <v>1</v>
      </c>
      <c r="O392" s="7" t="str">
        <f aca="false">IMSUM(IMPRODUCT(K392,O391),IMPRODUCT(L392,Q391))</f>
        <v>1</v>
      </c>
      <c r="P392" s="7" t="str">
        <f aca="false">IMSUM(IMPRODUCT(K392,P391),IMPRODUCT(L392,R391))</f>
        <v>-3.4425901875902</v>
      </c>
      <c r="Q392" s="7" t="str">
        <f aca="false">IMSUM(IMPRODUCT(M392,O391),IMPRODUCT(N392,Q391))</f>
        <v>0</v>
      </c>
      <c r="R392" s="7" t="str">
        <f aca="false">IMSUM(IMPRODUCT(M392,P391),IMPRODUCT(N392,R391))</f>
        <v>1</v>
      </c>
    </row>
    <row r="393" customFormat="false" ht="15" hidden="false" customHeight="false" outlineLevel="0" collapsed="false">
      <c r="A393" s="7" t="s">
        <v>70</v>
      </c>
      <c r="B393" s="7" t="s">
        <v>65</v>
      </c>
      <c r="C393" s="10" t="n">
        <f aca="false">INDEX(Classes!$B$5:$F$9,MATCH(Engine!$C$368,Classes!$A$5:$A$9,0),2)*(N382*1000)</f>
        <v>0</v>
      </c>
      <c r="K393" s="7" t="str">
        <f aca="false">COMPLEX(1,0)</f>
        <v>1</v>
      </c>
      <c r="L393" s="7" t="str">
        <f aca="false">COMPLEX(0,0)</f>
        <v>0</v>
      </c>
      <c r="M393" s="7" t="str">
        <f aca="false">COMPLEX(0,-(2*PI()/($B$2*3600))*C393)</f>
        <v>0</v>
      </c>
      <c r="N393" s="7" t="str">
        <f aca="false">COMPLEX(1,0)</f>
        <v>1</v>
      </c>
      <c r="O393" s="7" t="str">
        <f aca="false">IMSUM(IMPRODUCT(K393,O392),IMPRODUCT(L393,Q392))</f>
        <v>1</v>
      </c>
      <c r="P393" s="7" t="str">
        <f aca="false">IMSUM(IMPRODUCT(K393,P392),IMPRODUCT(L393,R392))</f>
        <v>-3.4425901875902</v>
      </c>
      <c r="Q393" s="7" t="str">
        <f aca="false">IMSUM(IMPRODUCT(M393,O392),IMPRODUCT(N393,Q392))</f>
        <v>0</v>
      </c>
      <c r="R393" s="7" t="str">
        <f aca="false">IMSUM(IMPRODUCT(M393,P392),IMPRODUCT(N393,R392))</f>
        <v>1</v>
      </c>
    </row>
    <row r="394" customFormat="false" ht="15" hidden="false" customHeight="false" outlineLevel="0" collapsed="false">
      <c r="A394" s="7" t="s">
        <v>66</v>
      </c>
      <c r="B394" s="7" t="s">
        <v>42</v>
      </c>
      <c r="C394" s="10" t="n">
        <f aca="false">P382/6</f>
        <v>0.662518037518038</v>
      </c>
      <c r="K394" s="7" t="str">
        <f aca="false">COMPLEX(1,0)</f>
        <v>1</v>
      </c>
      <c r="L394" s="7" t="str">
        <f aca="false">COMPLEX(-C394,0)</f>
        <v>-0.662518037518038</v>
      </c>
      <c r="M394" s="7" t="str">
        <f aca="false">COMPLEX(0,0)</f>
        <v>0</v>
      </c>
      <c r="N394" s="7" t="str">
        <f aca="false">COMPLEX(1,0)</f>
        <v>1</v>
      </c>
      <c r="O394" s="7" t="str">
        <f aca="false">IMSUM(IMPRODUCT(K394,O393),IMPRODUCT(L394,Q393))</f>
        <v>1</v>
      </c>
      <c r="P394" s="7" t="str">
        <f aca="false">IMSUM(IMPRODUCT(K394,P393),IMPRODUCT(L394,R393))</f>
        <v>-4.10510822510824</v>
      </c>
      <c r="Q394" s="7" t="str">
        <f aca="false">IMSUM(IMPRODUCT(M394,O393),IMPRODUCT(N394,Q393))</f>
        <v>0</v>
      </c>
      <c r="R394" s="7" t="str">
        <f aca="false">IMSUM(IMPRODUCT(M394,P393),IMPRODUCT(N394,R393))</f>
        <v>1</v>
      </c>
    </row>
    <row r="395" customFormat="false" ht="15" hidden="false" customHeight="false" outlineLevel="0" collapsed="false">
      <c r="A395" s="7" t="s">
        <v>71</v>
      </c>
      <c r="B395" s="7" t="s">
        <v>65</v>
      </c>
      <c r="C395" s="10" t="n">
        <f aca="false">INDEX(Classes!$B$5:$F$9,MATCH(Engine!$C$368,Classes!$A$5:$A$9,0),1)*(N382*1000)</f>
        <v>304510</v>
      </c>
      <c r="K395" s="7" t="str">
        <f aca="false">COMPLEX(1,0)</f>
        <v>1</v>
      </c>
      <c r="L395" s="7" t="str">
        <f aca="false">COMPLEX(0,0)</f>
        <v>0</v>
      </c>
      <c r="M395" s="7" t="str">
        <f aca="false">COMPLEX(0,-(2*PI()/($B$2*3600))*C395)</f>
        <v>-22.1445921051997i</v>
      </c>
      <c r="N395" s="7" t="str">
        <f aca="false">COMPLEX(1,0)</f>
        <v>1</v>
      </c>
      <c r="O395" s="7" t="str">
        <f aca="false">IMSUM(IMPRODUCT(K395,O394),IMPRODUCT(L395,Q394))</f>
        <v>1</v>
      </c>
      <c r="P395" s="7" t="str">
        <f aca="false">IMSUM(IMPRODUCT(K395,P394),IMPRODUCT(L395,R394))</f>
        <v>-4.10510822510824</v>
      </c>
      <c r="Q395" s="7" t="str">
        <f aca="false">IMSUM(IMPRODUCT(M395,O394),IMPRODUCT(N395,Q394))</f>
        <v>-22.1445921051997i</v>
      </c>
      <c r="R395" s="7" t="str">
        <f aca="false">IMSUM(IMPRODUCT(M395,P394),IMPRODUCT(N395,R394))</f>
        <v>1+90.9059471927223i</v>
      </c>
    </row>
    <row r="396" customFormat="false" ht="15" hidden="false" customHeight="false" outlineLevel="0" collapsed="false">
      <c r="A396" s="7" t="s">
        <v>72</v>
      </c>
      <c r="B396" s="7" t="s">
        <v>73</v>
      </c>
      <c r="K396" s="7" t="str">
        <f aca="false">K380</f>
        <v>1</v>
      </c>
      <c r="L396" s="7" t="str">
        <f aca="false">L380</f>
        <v>-0</v>
      </c>
      <c r="M396" s="7" t="str">
        <f aca="false">M380</f>
        <v>0</v>
      </c>
      <c r="N396" s="7" t="str">
        <f aca="false">N380</f>
        <v>1</v>
      </c>
      <c r="O396" s="7" t="str">
        <f aca="false">IMSUM(IMPRODUCT(K396,O395),IMPRODUCT(L396,Q395))</f>
        <v>1</v>
      </c>
      <c r="P396" s="7" t="str">
        <f aca="false">IMSUM(IMPRODUCT(K396,P395),IMPRODUCT(L396,R395))</f>
        <v>-4.10510822510824</v>
      </c>
      <c r="Q396" s="7" t="str">
        <f aca="false">IMSUM(IMPRODUCT(M396,O395),IMPRODUCT(N396,Q395))</f>
        <v>-22.1445921051997i</v>
      </c>
      <c r="R396" s="7" t="str">
        <f aca="false">IMSUM(IMPRODUCT(M396,P395),IMPRODUCT(N396,R395))</f>
        <v>1+90.9059471927223i</v>
      </c>
    </row>
    <row r="397" customFormat="false" ht="15" hidden="false" customHeight="false" outlineLevel="0" collapsed="false">
      <c r="A397" s="7" t="s">
        <v>52</v>
      </c>
      <c r="B397" s="7" t="s">
        <v>73</v>
      </c>
      <c r="K397" s="7" t="str">
        <f aca="false">K381</f>
        <v>1</v>
      </c>
      <c r="L397" s="7" t="str">
        <f aca="false">L381</f>
        <v>-0.04</v>
      </c>
      <c r="M397" s="7" t="str">
        <f aca="false">M381</f>
        <v>0</v>
      </c>
      <c r="N397" s="7" t="str">
        <f aca="false">N381</f>
        <v>1</v>
      </c>
      <c r="O397" s="7" t="str">
        <f aca="false">IMSUM(IMPRODUCT(K397,O396),IMPRODUCT(L397,Q396))</f>
        <v>1+0.885783684207988i</v>
      </c>
      <c r="P397" s="7" t="str">
        <f aca="false">IMSUM(IMPRODUCT(K397,P396),IMPRODUCT(L397,R396))</f>
        <v>-4.14510822510824-3.63623788770889i</v>
      </c>
      <c r="Q397" s="7" t="str">
        <f aca="false">IMSUM(IMPRODUCT(M397,O396),IMPRODUCT(N397,Q396))</f>
        <v>-22.1445921051997i</v>
      </c>
      <c r="R397" s="7" t="str">
        <f aca="false">IMSUM(IMPRODUCT(M397,P396),IMPRODUCT(N397,R396))</f>
        <v>1+90.9059471927223i</v>
      </c>
    </row>
    <row r="398" customFormat="false" ht="15" hidden="false" customHeight="false" outlineLevel="0" collapsed="false">
      <c r="A398" s="9" t="s">
        <v>74</v>
      </c>
      <c r="B398" s="13" t="n">
        <f aca="false">IMABS(IMDIV(IMPRODUCT(O397,COMPLEX(-1,0)),P397))</f>
        <v>0.242273310520613</v>
      </c>
    </row>
    <row r="401" customFormat="false" ht="15" hidden="false" customHeight="false" outlineLevel="0" collapsed="false">
      <c r="A401" s="4" t="s">
        <v>108</v>
      </c>
      <c r="B401" s="9" t="s">
        <v>18</v>
      </c>
      <c r="C401" s="7" t="str">
        <f aca="false">INDEX(Library!$F$5:$F$34,MATCH(A401,Library!$A$5:$A$34,0))</f>
        <v>I</v>
      </c>
    </row>
    <row r="402" customFormat="false" ht="15" hidden="false" customHeight="false" outlineLevel="0" collapsed="false">
      <c r="A402" s="4" t="s">
        <v>109</v>
      </c>
      <c r="T402" s="9" t="s">
        <v>20</v>
      </c>
      <c r="U402" s="7" t="n">
        <f aca="false">MATCH($A$401,Library!$A$5:$A$34,0)</f>
        <v>13</v>
      </c>
      <c r="V402" s="9" t="s">
        <v>21</v>
      </c>
      <c r="W402" s="7" t="str">
        <f aca="false">INDEX(Library!$D$5:$D$34,$U$402)</f>
        <v>ext</v>
      </c>
      <c r="X402" s="9" t="s">
        <v>22</v>
      </c>
      <c r="Y402" s="7" t="n">
        <f aca="false">INDEX(Library!$E$5:$E$34,$U$402)</f>
        <v>0.13</v>
      </c>
    </row>
    <row r="403" customFormat="false" ht="15" hidden="false" customHeight="false" outlineLevel="0" collapsed="false">
      <c r="A403" s="9"/>
      <c r="B403" s="9" t="s">
        <v>23</v>
      </c>
      <c r="C403" s="9" t="s">
        <v>24</v>
      </c>
      <c r="D403" s="9" t="s">
        <v>25</v>
      </c>
      <c r="E403" s="9" t="s">
        <v>26</v>
      </c>
      <c r="F403" s="9" t="s">
        <v>27</v>
      </c>
      <c r="G403" s="9" t="s">
        <v>28</v>
      </c>
      <c r="H403" s="9" t="s">
        <v>29</v>
      </c>
      <c r="I403" s="9" t="s">
        <v>30</v>
      </c>
      <c r="J403" s="9" t="s">
        <v>31</v>
      </c>
      <c r="K403" s="9" t="s">
        <v>32</v>
      </c>
      <c r="L403" s="9" t="s">
        <v>33</v>
      </c>
      <c r="M403" s="9" t="s">
        <v>34</v>
      </c>
      <c r="N403" s="9" t="s">
        <v>35</v>
      </c>
      <c r="O403" s="9" t="s">
        <v>36</v>
      </c>
      <c r="P403" s="9" t="s">
        <v>37</v>
      </c>
      <c r="Q403" s="9" t="s">
        <v>38</v>
      </c>
      <c r="R403" s="9" t="s">
        <v>39</v>
      </c>
      <c r="S403" s="9" t="s">
        <v>40</v>
      </c>
      <c r="T403" s="9" t="s">
        <v>41</v>
      </c>
    </row>
    <row r="404" customFormat="false" ht="15" hidden="false" customHeight="false" outlineLevel="0" collapsed="false">
      <c r="A404" s="7" t="s">
        <v>22</v>
      </c>
      <c r="B404" s="7" t="s">
        <v>42</v>
      </c>
      <c r="H404" s="10" t="n">
        <f aca="false">$Y$402</f>
        <v>0.13</v>
      </c>
      <c r="I404" s="11" t="n">
        <f aca="false">IF(B404="mass",SQRT(E404*($B$2*3600)/(PI()*F404*G404)),0)</f>
        <v>0</v>
      </c>
      <c r="J404" s="10" t="n">
        <f aca="false">IF(B404="mass",D404/I404,0)</f>
        <v>0</v>
      </c>
      <c r="K404" s="7" t="str">
        <f aca="false">IF(B404="mass",COMPLEX(COSH(J404)*COS(J404),SINH(J404)*SIN(J404)),COMPLEX(1,0))</f>
        <v>1</v>
      </c>
      <c r="L404" s="7" t="str">
        <f aca="false">IF(B404="mass",COMPLEX(-I404/(2*E404)*(SINH(J404)*COS(J404)+COSH(J404)*SIN(J404)),-I404/(2*E404)*(COSH(J404)*SIN(J404)-SINH(J404)*COS(J404))),COMPLEX(-H404,0))</f>
        <v>-0.13</v>
      </c>
      <c r="M404" s="7" t="str">
        <f aca="false">IF(B404="mass",COMPLEX(-E404/I404*(SINH(J404)*COS(J404)-COSH(J404)*SIN(J404)),-E404/I404*(SINH(J404)*COS(J404)+COSH(J404)*SIN(J404))),COMPLEX(0,0))</f>
        <v>0</v>
      </c>
      <c r="N404" s="7" t="str">
        <f aca="false">K404</f>
        <v>1</v>
      </c>
      <c r="O404" s="7" t="str">
        <f aca="false">K404</f>
        <v>1</v>
      </c>
      <c r="P404" s="7" t="str">
        <f aca="false">L404</f>
        <v>-0.13</v>
      </c>
      <c r="Q404" s="7" t="str">
        <f aca="false">M404</f>
        <v>0</v>
      </c>
      <c r="R404" s="7" t="str">
        <f aca="false">N404</f>
        <v>1</v>
      </c>
      <c r="S404" s="10" t="n">
        <f aca="false">IF(B404="mass",D404/E404,H404)</f>
        <v>0.13</v>
      </c>
      <c r="T404" s="12" t="n">
        <f aca="false">IF(B404="mass",F404*G404*D404,0)</f>
        <v>0</v>
      </c>
    </row>
    <row r="405" customFormat="false" ht="15" hidden="false" customHeight="false" outlineLevel="0" collapsed="false">
      <c r="A405" s="7" t="s">
        <v>43</v>
      </c>
      <c r="B405" s="7" t="str">
        <f aca="false">IF(C405="","none",IF(C405="Cavity","res","mass"))</f>
        <v>mass</v>
      </c>
      <c r="C405" s="7" t="str">
        <f aca="false">IF(INDEX(Library!$G$5:$G$34,$U$402)="","",INDEX(Library!$G$5:$G$34,$U$402))</f>
        <v>gypsum plaster</v>
      </c>
      <c r="D405" s="11" t="n">
        <f aca="false">IF(B405="mass",INDEX(Library!$H$5:$H$34,$U$402)/1000,0)</f>
        <v>0.013</v>
      </c>
      <c r="E405" s="7" t="n">
        <f aca="false">IF(B405="mass",INDEX(Materials!$B$5:$B$28,MATCH(C405,Materials!$A$5:$A$28,0)),0)</f>
        <v>0.5</v>
      </c>
      <c r="F405" s="7" t="n">
        <f aca="false">IF(B405="mass",INDEX(Materials!$C$5:$C$28,MATCH(C405,Materials!$A$5:$A$28,0)),0)</f>
        <v>1300</v>
      </c>
      <c r="G405" s="7" t="n">
        <f aca="false">IF(B405="mass",INDEX(Materials!$D$5:$D$28,MATCH(C405,Materials!$A$5:$A$28,0)),0)</f>
        <v>1000</v>
      </c>
      <c r="H405" s="10" t="n">
        <f aca="false">IF(B405="res",INDEX(Library!$H$5:$H$34,$U$402),0)</f>
        <v>0</v>
      </c>
      <c r="I405" s="11" t="n">
        <f aca="false">IF(B405="mass",SQRT(E405*($B$2*3600)/(PI()*F405*G405)),0)</f>
        <v>0.102847860316323</v>
      </c>
      <c r="J405" s="10" t="n">
        <f aca="false">IF(B405="mass",D405/I405,0)</f>
        <v>0.126400296126887</v>
      </c>
      <c r="K405" s="7" t="str">
        <f aca="false">IF(B405="mass",COMPLEX(COSH(J405)*COS(J405),SINH(J405)*SIN(J405)),COMPLEX(1,0))</f>
        <v>0.999957455752033+0.0159769895455509i</v>
      </c>
      <c r="L405" s="7" t="str">
        <f aca="false">IF(B405="mass",COMPLEX(-I405/(2*E405)*(SINH(J405)*COS(J405)+COSH(J405)*SIN(J405)),-I405/(2*E405)*(COSH(J405)*SIN(J405)-SINH(J405)*COS(J405))),COMPLEX(-H405,0))</f>
        <v>-0.0259997787698508-0.00013846746714729i</v>
      </c>
      <c r="M405" s="7" t="str">
        <f aca="false">IF(B405="mass",COMPLEX(-E405/I405*(SINH(J405)*COS(J405)-COSH(J405)*SIN(J405)),-E405/I405*(SINH(J405)*COS(J405)+COSH(J405)*SIN(J405))),COMPLEX(0,0))</f>
        <v>0.00654526494000515-1.22899222421088i</v>
      </c>
      <c r="N405" s="7" t="str">
        <f aca="false">K405</f>
        <v>0.999957455752033+0.0159769895455509i</v>
      </c>
      <c r="O405" s="7" t="str">
        <f aca="false">IMSUM(IMPRODUCT(K405,O404),IMPRODUCT(L405,Q404))</f>
        <v>0.999957455752033+0.0159769895455509i</v>
      </c>
      <c r="P405" s="7" t="str">
        <f aca="false">IMSUM(IMPRODUCT(K405,P404),IMPRODUCT(L405,R404))</f>
        <v>-0.155994248017615-0.00221547610806891i</v>
      </c>
      <c r="Q405" s="7" t="str">
        <f aca="false">IMSUM(IMPRODUCT(M405,O404),IMPRODUCT(N405,Q404))</f>
        <v>0.00654526494000515-1.22899222421088i</v>
      </c>
      <c r="R405" s="7" t="str">
        <f aca="false">IMSUM(IMPRODUCT(M405,P404),IMPRODUCT(N405,R404))</f>
        <v>0.999106571309832+0.175745978692965i</v>
      </c>
      <c r="S405" s="10" t="n">
        <f aca="false">IF(B405="mass",D405/E405,H405)</f>
        <v>0.026</v>
      </c>
      <c r="T405" s="12" t="n">
        <f aca="false">IF(B405="mass",F405*G405*D405,0)</f>
        <v>16900</v>
      </c>
    </row>
    <row r="406" customFormat="false" ht="15" hidden="false" customHeight="false" outlineLevel="0" collapsed="false">
      <c r="A406" s="7" t="s">
        <v>44</v>
      </c>
      <c r="B406" s="7" t="str">
        <f aca="false">IF(C406="","none",IF(C406="Cavity","res","mass"))</f>
        <v>mass</v>
      </c>
      <c r="C406" s="7" t="str">
        <f aca="false">IF(INDEX(Library!$I$5:$I$34,$U$402)="","",INDEX(Library!$I$5:$I$34,$U$402))</f>
        <v>brick</v>
      </c>
      <c r="D406" s="11" t="n">
        <f aca="false">IF(B406="mass",INDEX(Library!$J$5:$J$34,$U$402)/1000,0)</f>
        <v>0.215</v>
      </c>
      <c r="E406" s="7" t="n">
        <f aca="false">IF(B406="mass",INDEX(Materials!$B$5:$B$28,MATCH(C406,Materials!$A$5:$A$28,0)),0)</f>
        <v>0.77</v>
      </c>
      <c r="F406" s="7" t="n">
        <f aca="false">IF(B406="mass",INDEX(Materials!$C$5:$C$28,MATCH(C406,Materials!$A$5:$A$28,0)),0)</f>
        <v>1700</v>
      </c>
      <c r="G406" s="7" t="n">
        <f aca="false">IF(B406="mass",INDEX(Materials!$D$5:$D$28,MATCH(C406,Materials!$A$5:$A$28,0)),0)</f>
        <v>800</v>
      </c>
      <c r="H406" s="10" t="n">
        <f aca="false">IF(B406="res",INDEX(Library!$J$5:$J$34,$U$402),0)</f>
        <v>0</v>
      </c>
      <c r="I406" s="11" t="n">
        <f aca="false">IF(B406="mass",SQRT(E406*($B$2*3600)/(PI()*F406*G406)),0)</f>
        <v>0.12478369552018</v>
      </c>
      <c r="J406" s="10" t="n">
        <f aca="false">IF(B406="mass",D406/I406,0)</f>
        <v>1.72298150895227</v>
      </c>
      <c r="K406" s="7" t="str">
        <f aca="false">IF(B406="mass",COMPLEX(COSH(J406)*COS(J406),SINH(J406)*SIN(J406)),COMPLEX(1,0))</f>
        <v>-0.438099471725514+2.67999813033158i</v>
      </c>
      <c r="L406" s="7" t="str">
        <f aca="false">IF(B406="mass",COMPLEX(-I406/(2*E406)*(SINH(J406)*COS(J406)+COSH(J406)*SIN(J406)),-I406/(2*E406)*(COSH(J406)*SIN(J406)-SINH(J406)*COS(J406))),COMPLEX(-H406,0))</f>
        <v>-0.198149506677515-0.264760362935957i</v>
      </c>
      <c r="M406" s="7" t="str">
        <f aca="false">IF(B406="mass",COMPLEX(-E406/I406*(SINH(J406)*COS(J406)-COSH(J406)*SIN(J406)),-E406/I406*(SINH(J406)*COS(J406)+COSH(J406)*SIN(J406))),COMPLEX(0,0))</f>
        <v>20.1627018038932-15.0899831508906i</v>
      </c>
      <c r="N406" s="7" t="str">
        <f aca="false">K406</f>
        <v>-0.438099471725514+2.67999813033158i</v>
      </c>
      <c r="O406" s="7" t="str">
        <f aca="false">IMSUM(IMPRODUCT(K406,O405),IMPRODUCT(L406,Q405))</f>
        <v>-0.807584503569835+2.91467587736376i</v>
      </c>
      <c r="P406" s="7" t="str">
        <f aca="false">IMSUM(IMPRODUCT(K406,P405),IMPRODUCT(L406,R405))</f>
        <v>-0.0771634356438671-0.716441491527383i</v>
      </c>
      <c r="Q406" s="7" t="str">
        <f aca="false">IMSUM(IMPRODUCT(M406,O405),IMPRODUCT(N406,Q405))</f>
        <v>23.693765885917-14.2112397409914i</v>
      </c>
      <c r="R406" s="7" t="str">
        <f aca="false">IMSUM(IMPRODUCT(M406,P405),IMPRODUCT(N406,R405))</f>
        <v>-4.08740395844246+4.90989011279009i</v>
      </c>
      <c r="S406" s="10" t="n">
        <f aca="false">IF(B406="mass",D406/E406,H406)</f>
        <v>0.279220779220779</v>
      </c>
      <c r="T406" s="12" t="n">
        <f aca="false">IF(B406="mass",F406*G406*D406,0)</f>
        <v>292400</v>
      </c>
    </row>
    <row r="407" customFormat="false" ht="15" hidden="false" customHeight="false" outlineLevel="0" collapsed="false">
      <c r="A407" s="7" t="s">
        <v>45</v>
      </c>
      <c r="B407" s="7" t="str">
        <f aca="false">IF(C407="","none",IF(C407="Cavity","res","mass"))</f>
        <v>mass</v>
      </c>
      <c r="C407" s="7" t="str">
        <f aca="false">IF(INDEX(Library!$K$5:$K$34,$U$402)="","",INDEX(Library!$K$5:$K$34,$U$402))</f>
        <v>EPS</v>
      </c>
      <c r="D407" s="11" t="n">
        <f aca="false">IF(B407="mass",INDEX(Library!$L$5:$L$34,$U$402)/1000,0)</f>
        <v>0.1</v>
      </c>
      <c r="E407" s="7" t="n">
        <f aca="false">IF(B407="mass",INDEX(Materials!$B$5:$B$28,MATCH(C407,Materials!$A$5:$A$28,0)),0)</f>
        <v>0.032</v>
      </c>
      <c r="F407" s="7" t="n">
        <f aca="false">IF(B407="mass",INDEX(Materials!$C$5:$C$28,MATCH(C407,Materials!$A$5:$A$28,0)),0)</f>
        <v>20</v>
      </c>
      <c r="G407" s="7" t="n">
        <f aca="false">IF(B407="mass",INDEX(Materials!$D$5:$D$28,MATCH(C407,Materials!$A$5:$A$28,0)),0)</f>
        <v>1450</v>
      </c>
      <c r="H407" s="10" t="n">
        <f aca="false">IF(B407="res",INDEX(Library!$L$5:$L$34,$U$402),0)</f>
        <v>0</v>
      </c>
      <c r="I407" s="11" t="n">
        <f aca="false">IF(B407="mass",SQRT(E407*($B$2*3600)/(PI()*F407*G407)),0)</f>
        <v>0.174203920669382</v>
      </c>
      <c r="J407" s="10" t="n">
        <f aca="false">IF(B407="mass",D407/I407,0)</f>
        <v>0.574039893107733</v>
      </c>
      <c r="K407" s="7" t="str">
        <f aca="false">IF(B407="mass",COMPLEX(COSH(J407)*COS(J407),SINH(J407)*SIN(J407)),COMPLEX(1,0))</f>
        <v>0.981907242656509+0.329124266495967i</v>
      </c>
      <c r="L407" s="7" t="str">
        <f aca="false">IF(B407="mass",COMPLEX(-I407/(2*E407)*(SINH(J407)*COS(J407)+COSH(J407)*SIN(J407)),-I407/(2*E407)*(COSH(J407)*SIN(J407)-SINH(J407)*COS(J407))),COMPLEX(-H407,0))</f>
        <v>-3.11369072705472-0.343074398456718i</v>
      </c>
      <c r="M407" s="7" t="str">
        <f aca="false">IF(B407="mass",COMPLEX(-E407/I407*(SINH(J407)*COS(J407)-COSH(J407)*SIN(J407)),-E407/I407*(SINH(J407)*COS(J407)+COSH(J407)*SIN(J407))),COMPLEX(0,0))</f>
        <v>0.0231527409518256-0.210130732960228i</v>
      </c>
      <c r="N407" s="7" t="str">
        <f aca="false">K407</f>
        <v>0.981907242656509+0.329124266495967i</v>
      </c>
      <c r="O407" s="7" t="str">
        <f aca="false">IMSUM(IMPRODUCT(K407,O406),IMPRODUCT(L407,Q406))</f>
        <v>-80.4028352867733+38.7168266196i</v>
      </c>
      <c r="P407" s="7" t="str">
        <f aca="false">IMSUM(IMPRODUCT(K407,P406),IMPRODUCT(L407,R406))</f>
        <v>14.5714003441224-14.6144711093869i</v>
      </c>
      <c r="Q407" s="7" t="str">
        <f aca="false">IMSUM(IMPRODUCT(M407,O406),IMPRODUCT(N407,Q406))</f>
        <v>28.5361093685859-5.91874485186828i</v>
      </c>
      <c r="R407" s="7" t="str">
        <f aca="false">IMSUM(IMPRODUCT(M407,P406),IMPRODUCT(N407,R406))</f>
        <v>-5.78174845317956+3.47541965773019i</v>
      </c>
      <c r="S407" s="10" t="n">
        <f aca="false">IF(B407="mass",D407/E407,H407)</f>
        <v>3.125</v>
      </c>
      <c r="T407" s="12" t="n">
        <f aca="false">IF(B407="mass",F407*G407*D407,0)</f>
        <v>2900</v>
      </c>
    </row>
    <row r="408" customFormat="false" ht="15" hidden="false" customHeight="false" outlineLevel="0" collapsed="false">
      <c r="A408" s="7" t="s">
        <v>46</v>
      </c>
      <c r="B408" s="7" t="str">
        <f aca="false">IF(C408="","none",IF(C408="Cavity","res","mass"))</f>
        <v>mass</v>
      </c>
      <c r="C408" s="7" t="str">
        <f aca="false">IF(INDEX(Library!$M$5:$M$34,$U$402)="","",INDEX(Library!$M$5:$M$34,$U$402))</f>
        <v>render</v>
      </c>
      <c r="D408" s="11" t="n">
        <f aca="false">IF(B408="mass",INDEX(Library!$N$5:$N$34,$U$402)/1000,0)</f>
        <v>0.01</v>
      </c>
      <c r="E408" s="7" t="n">
        <f aca="false">IF(B408="mass",INDEX(Materials!$B$5:$B$28,MATCH(C408,Materials!$A$5:$A$28,0)),0)</f>
        <v>0.8</v>
      </c>
      <c r="F408" s="7" t="n">
        <f aca="false">IF(B408="mass",INDEX(Materials!$C$5:$C$28,MATCH(C408,Materials!$A$5:$A$28,0)),0)</f>
        <v>1800</v>
      </c>
      <c r="G408" s="7" t="n">
        <f aca="false">IF(B408="mass",INDEX(Materials!$D$5:$D$28,MATCH(C408,Materials!$A$5:$A$28,0)),0)</f>
        <v>1000</v>
      </c>
      <c r="H408" s="10" t="n">
        <f aca="false">IF(B408="res",INDEX(Library!$N$5:$N$34,$U$402),0)</f>
        <v>0</v>
      </c>
      <c r="I408" s="11" t="n">
        <f aca="false">IF(B408="mass",SQRT(E408*($B$2*3600)/(PI()*F408*G408)),0)</f>
        <v>0.110558127830827</v>
      </c>
      <c r="J408" s="10" t="n">
        <f aca="false">IF(B408="mass",D408/I408,0)</f>
        <v>0.0904501568197835</v>
      </c>
      <c r="K408" s="7" t="str">
        <f aca="false">IF(B408="mass",COMPLEX(COSH(J408)*COS(J408),SINH(J408)*SIN(J408)),COMPLEX(1,0))</f>
        <v>0.99998884457869+0.00818122478438429i</v>
      </c>
      <c r="L408" s="7" t="str">
        <f aca="false">IF(B408="mass",COMPLEX(-I408/(2*E408)*(SINH(J408)*COS(J408)+COSH(J408)*SIN(J408)),-I408/(2*E408)*(COSH(J408)*SIN(J408)-SINH(J408)*COS(J408))),COMPLEX(-H408,0))</f>
        <v>-0.0124999721114447-3.40884510881232e-05i</v>
      </c>
      <c r="M408" s="7" t="str">
        <f aca="false">IF(B408="mass",COMPLEX(-E408/I408*(SINH(J408)*COS(J408)-COSH(J408)*SIN(J408)),-E408/I408*(SINH(J408)*COS(J408)+COSH(J408)*SIN(J408))),COMPLEX(0,0))</f>
        <v>0.00356973425035676-1.30899401851307i</v>
      </c>
      <c r="N408" s="7" t="str">
        <f aca="false">K408</f>
        <v>0.99998884457869+0.00818122478438429i</v>
      </c>
      <c r="O408" s="7" t="str">
        <f aca="false">IMSUM(IMPRODUCT(K408,O407),IMPRODUCT(L408,Q407))</f>
        <v>-81.0755917529049+38.1316124421191i</v>
      </c>
      <c r="P408" s="7" t="str">
        <f aca="false">IMSUM(IMPRODUCT(K408,P407),IMPRODUCT(L408,R407))</f>
        <v>14.7631922333564-14.5383417351137i</v>
      </c>
      <c r="Q408" s="7" t="str">
        <f aca="false">IMSUM(IMPRODUCT(M408,O407),IMPRODUCT(N408,Q407))</f>
        <v>78.9772913242529+99.6998207433673i</v>
      </c>
      <c r="R408" s="7" t="str">
        <f aca="false">IMSUM(IMPRODUCT(M408,P407),IMPRODUCT(N408,R407))</f>
        <v>-24.888356383815-15.6979665656681i</v>
      </c>
      <c r="S408" s="10" t="n">
        <f aca="false">IF(B408="mass",D408/E408,H408)</f>
        <v>0.0125</v>
      </c>
      <c r="T408" s="12" t="n">
        <f aca="false">IF(B408="mass",F408*G408*D408,0)</f>
        <v>18000</v>
      </c>
    </row>
    <row r="409" customFormat="false" ht="15" hidden="false" customHeight="false" outlineLevel="0" collapsed="false">
      <c r="A409" s="7" t="s">
        <v>47</v>
      </c>
      <c r="B409" s="7" t="str">
        <f aca="false">IF(C409="","none",IF(C409="Cavity","res","mass"))</f>
        <v>none</v>
      </c>
      <c r="C409" s="7" t="str">
        <f aca="false">IF(INDEX(Library!$O$5:$O$34,$U$402)="","",INDEX(Library!$O$5:$O$34,$U$402))</f>
        <v/>
      </c>
      <c r="D409" s="11" t="n">
        <f aca="false">IF(B409="mass",INDEX(Library!$P$5:$P$34,$U$402)/1000,0)</f>
        <v>0</v>
      </c>
      <c r="E409" s="7" t="n">
        <f aca="false">IF(B409="mass",INDEX(Materials!$B$5:$B$28,MATCH(C409,Materials!$A$5:$A$28,0)),0)</f>
        <v>0</v>
      </c>
      <c r="F409" s="7" t="n">
        <f aca="false">IF(B409="mass",INDEX(Materials!$C$5:$C$28,MATCH(C409,Materials!$A$5:$A$28,0)),0)</f>
        <v>0</v>
      </c>
      <c r="G409" s="7" t="n">
        <f aca="false">IF(B409="mass",INDEX(Materials!$D$5:$D$28,MATCH(C409,Materials!$A$5:$A$28,0)),0)</f>
        <v>0</v>
      </c>
      <c r="H409" s="10" t="n">
        <f aca="false">IF(B409="res",INDEX(Library!$P$5:$P$34,$U$402),0)</f>
        <v>0</v>
      </c>
      <c r="I409" s="11" t="n">
        <f aca="false">IF(B409="mass",SQRT(E409*($B$2*3600)/(PI()*F409*G409)),0)</f>
        <v>0</v>
      </c>
      <c r="J409" s="10" t="n">
        <f aca="false">IF(B409="mass",D409/I409,0)</f>
        <v>0</v>
      </c>
      <c r="K409" s="7" t="str">
        <f aca="false">IF(B409="mass",COMPLEX(COSH(J409)*COS(J409),SINH(J409)*SIN(J409)),COMPLEX(1,0))</f>
        <v>1</v>
      </c>
      <c r="L409" s="7" t="str">
        <f aca="false">IF(B409="mass",COMPLEX(-I409/(2*E409)*(SINH(J409)*COS(J409)+COSH(J409)*SIN(J409)),-I409/(2*E409)*(COSH(J409)*SIN(J409)-SINH(J409)*COS(J409))),COMPLEX(-H409,0))</f>
        <v>-0</v>
      </c>
      <c r="M409" s="7" t="str">
        <f aca="false">IF(B409="mass",COMPLEX(-E409/I409*(SINH(J409)*COS(J409)-COSH(J409)*SIN(J409)),-E409/I409*(SINH(J409)*COS(J409)+COSH(J409)*SIN(J409))),COMPLEX(0,0))</f>
        <v>0</v>
      </c>
      <c r="N409" s="7" t="str">
        <f aca="false">K409</f>
        <v>1</v>
      </c>
      <c r="O409" s="7" t="str">
        <f aca="false">IMSUM(IMPRODUCT(K409,O408),IMPRODUCT(L409,Q408))</f>
        <v>-81.0755917529049+38.1316124421191i</v>
      </c>
      <c r="P409" s="7" t="str">
        <f aca="false">IMSUM(IMPRODUCT(K409,P408),IMPRODUCT(L409,R408))</f>
        <v>14.7631922333564-14.5383417351137i</v>
      </c>
      <c r="Q409" s="7" t="str">
        <f aca="false">IMSUM(IMPRODUCT(M409,O408),IMPRODUCT(N409,Q408))</f>
        <v>78.9772913242529+99.6998207433673i</v>
      </c>
      <c r="R409" s="7" t="str">
        <f aca="false">IMSUM(IMPRODUCT(M409,P408),IMPRODUCT(N409,R408))</f>
        <v>-24.888356383815-15.6979665656681i</v>
      </c>
      <c r="S409" s="10" t="n">
        <f aca="false">IF(B409="mass",D409/E409,H409)</f>
        <v>0</v>
      </c>
      <c r="T409" s="12" t="n">
        <f aca="false">IF(B409="mass",F409*G409*D409,0)</f>
        <v>0</v>
      </c>
    </row>
    <row r="410" customFormat="false" ht="15" hidden="false" customHeight="false" outlineLevel="0" collapsed="false">
      <c r="A410" s="7" t="s">
        <v>48</v>
      </c>
      <c r="B410" s="7" t="str">
        <f aca="false">IF(C410="","none",IF(C410="Cavity","res","mass"))</f>
        <v>none</v>
      </c>
      <c r="C410" s="7" t="str">
        <f aca="false">IF(INDEX(Library!$Q$5:$Q$34,$U$402)="","",INDEX(Library!$Q$5:$Q$34,$U$402))</f>
        <v/>
      </c>
      <c r="D410" s="11" t="n">
        <f aca="false">IF(B410="mass",INDEX(Library!$R$5:$R$34,$U$402)/1000,0)</f>
        <v>0</v>
      </c>
      <c r="E410" s="7" t="n">
        <f aca="false">IF(B410="mass",INDEX(Materials!$B$5:$B$28,MATCH(C410,Materials!$A$5:$A$28,0)),0)</f>
        <v>0</v>
      </c>
      <c r="F410" s="7" t="n">
        <f aca="false">IF(B410="mass",INDEX(Materials!$C$5:$C$28,MATCH(C410,Materials!$A$5:$A$28,0)),0)</f>
        <v>0</v>
      </c>
      <c r="G410" s="7" t="n">
        <f aca="false">IF(B410="mass",INDEX(Materials!$D$5:$D$28,MATCH(C410,Materials!$A$5:$A$28,0)),0)</f>
        <v>0</v>
      </c>
      <c r="H410" s="10" t="n">
        <f aca="false">IF(B410="res",INDEX(Library!$R$5:$R$34,$U$402),0)</f>
        <v>0</v>
      </c>
      <c r="I410" s="11" t="n">
        <f aca="false">IF(B410="mass",SQRT(E410*($B$2*3600)/(PI()*F410*G410)),0)</f>
        <v>0</v>
      </c>
      <c r="J410" s="10" t="n">
        <f aca="false">IF(B410="mass",D410/I410,0)</f>
        <v>0</v>
      </c>
      <c r="K410" s="7" t="str">
        <f aca="false">IF(B410="mass",COMPLEX(COSH(J410)*COS(J410),SINH(J410)*SIN(J410)),COMPLEX(1,0))</f>
        <v>1</v>
      </c>
      <c r="L410" s="7" t="str">
        <f aca="false">IF(B410="mass",COMPLEX(-I410/(2*E410)*(SINH(J410)*COS(J410)+COSH(J410)*SIN(J410)),-I410/(2*E410)*(COSH(J410)*SIN(J410)-SINH(J410)*COS(J410))),COMPLEX(-H410,0))</f>
        <v>-0</v>
      </c>
      <c r="M410" s="7" t="str">
        <f aca="false">IF(B410="mass",COMPLEX(-E410/I410*(SINH(J410)*COS(J410)-COSH(J410)*SIN(J410)),-E410/I410*(SINH(J410)*COS(J410)+COSH(J410)*SIN(J410))),COMPLEX(0,0))</f>
        <v>0</v>
      </c>
      <c r="N410" s="7" t="str">
        <f aca="false">K410</f>
        <v>1</v>
      </c>
      <c r="O410" s="7" t="str">
        <f aca="false">IMSUM(IMPRODUCT(K410,O409),IMPRODUCT(L410,Q409))</f>
        <v>-81.0755917529049+38.1316124421191i</v>
      </c>
      <c r="P410" s="7" t="str">
        <f aca="false">IMSUM(IMPRODUCT(K410,P409),IMPRODUCT(L410,R409))</f>
        <v>14.7631922333564-14.5383417351137i</v>
      </c>
      <c r="Q410" s="7" t="str">
        <f aca="false">IMSUM(IMPRODUCT(M410,O409),IMPRODUCT(N410,Q409))</f>
        <v>78.9772913242529+99.6998207433673i</v>
      </c>
      <c r="R410" s="7" t="str">
        <f aca="false">IMSUM(IMPRODUCT(M410,P409),IMPRODUCT(N410,R409))</f>
        <v>-24.888356383815-15.6979665656681i</v>
      </c>
      <c r="S410" s="10" t="n">
        <f aca="false">IF(B410="mass",D410/E410,H410)</f>
        <v>0</v>
      </c>
      <c r="T410" s="12" t="n">
        <f aca="false">IF(B410="mass",F410*G410*D410,0)</f>
        <v>0</v>
      </c>
    </row>
    <row r="411" customFormat="false" ht="15" hidden="false" customHeight="false" outlineLevel="0" collapsed="false">
      <c r="A411" s="7" t="s">
        <v>49</v>
      </c>
      <c r="B411" s="7" t="str">
        <f aca="false">IF(C411="","none",IF(C411="Cavity","res","mass"))</f>
        <v>none</v>
      </c>
      <c r="C411" s="7" t="str">
        <f aca="false">IF(INDEX(Library!$S$5:$S$34,$U$402)="","",INDEX(Library!$S$5:$S$34,$U$402))</f>
        <v/>
      </c>
      <c r="D411" s="11" t="n">
        <f aca="false">IF(B411="mass",INDEX(Library!$T$5:$T$34,$U$402)/1000,0)</f>
        <v>0</v>
      </c>
      <c r="E411" s="7" t="n">
        <f aca="false">IF(B411="mass",INDEX(Materials!$B$5:$B$28,MATCH(C411,Materials!$A$5:$A$28,0)),0)</f>
        <v>0</v>
      </c>
      <c r="F411" s="7" t="n">
        <f aca="false">IF(B411="mass",INDEX(Materials!$C$5:$C$28,MATCH(C411,Materials!$A$5:$A$28,0)),0)</f>
        <v>0</v>
      </c>
      <c r="G411" s="7" t="n">
        <f aca="false">IF(B411="mass",INDEX(Materials!$D$5:$D$28,MATCH(C411,Materials!$A$5:$A$28,0)),0)</f>
        <v>0</v>
      </c>
      <c r="H411" s="10" t="n">
        <f aca="false">IF(B411="res",INDEX(Library!$T$5:$T$34,$U$402),0)</f>
        <v>0</v>
      </c>
      <c r="I411" s="11" t="n">
        <f aca="false">IF(B411="mass",SQRT(E411*($B$2*3600)/(PI()*F411*G411)),0)</f>
        <v>0</v>
      </c>
      <c r="J411" s="10" t="n">
        <f aca="false">IF(B411="mass",D411/I411,0)</f>
        <v>0</v>
      </c>
      <c r="K411" s="7" t="str">
        <f aca="false">IF(B411="mass",COMPLEX(COSH(J411)*COS(J411),SINH(J411)*SIN(J411)),COMPLEX(1,0))</f>
        <v>1</v>
      </c>
      <c r="L411" s="7" t="str">
        <f aca="false">IF(B411="mass",COMPLEX(-I411/(2*E411)*(SINH(J411)*COS(J411)+COSH(J411)*SIN(J411)),-I411/(2*E411)*(COSH(J411)*SIN(J411)-SINH(J411)*COS(J411))),COMPLEX(-H411,0))</f>
        <v>-0</v>
      </c>
      <c r="M411" s="7" t="str">
        <f aca="false">IF(B411="mass",COMPLEX(-E411/I411*(SINH(J411)*COS(J411)-COSH(J411)*SIN(J411)),-E411/I411*(SINH(J411)*COS(J411)+COSH(J411)*SIN(J411))),COMPLEX(0,0))</f>
        <v>0</v>
      </c>
      <c r="N411" s="7" t="str">
        <f aca="false">K411</f>
        <v>1</v>
      </c>
      <c r="O411" s="7" t="str">
        <f aca="false">IMSUM(IMPRODUCT(K411,O410),IMPRODUCT(L411,Q410))</f>
        <v>-81.0755917529049+38.1316124421191i</v>
      </c>
      <c r="P411" s="7" t="str">
        <f aca="false">IMSUM(IMPRODUCT(K411,P410),IMPRODUCT(L411,R410))</f>
        <v>14.7631922333564-14.5383417351137i</v>
      </c>
      <c r="Q411" s="7" t="str">
        <f aca="false">IMSUM(IMPRODUCT(M411,O410),IMPRODUCT(N411,Q410))</f>
        <v>78.9772913242529+99.6998207433673i</v>
      </c>
      <c r="R411" s="7" t="str">
        <f aca="false">IMSUM(IMPRODUCT(M411,P410),IMPRODUCT(N411,R410))</f>
        <v>-24.888356383815-15.6979665656681i</v>
      </c>
      <c r="S411" s="10" t="n">
        <f aca="false">IF(B411="mass",D411/E411,H411)</f>
        <v>0</v>
      </c>
      <c r="T411" s="12" t="n">
        <f aca="false">IF(B411="mass",F411*G411*D411,0)</f>
        <v>0</v>
      </c>
    </row>
    <row r="412" customFormat="false" ht="15" hidden="false" customHeight="false" outlineLevel="0" collapsed="false">
      <c r="A412" s="7" t="s">
        <v>50</v>
      </c>
      <c r="B412" s="7" t="str">
        <f aca="false">IF(C412="","none",IF(C412="Cavity","res","mass"))</f>
        <v>none</v>
      </c>
      <c r="C412" s="7" t="str">
        <f aca="false">IF(INDEX(Library!$U$5:$U$34,$U$402)="","",INDEX(Library!$U$5:$U$34,$U$402))</f>
        <v/>
      </c>
      <c r="D412" s="11" t="n">
        <f aca="false">IF(B412="mass",INDEX(Library!$V$5:$V$34,$U$402)/1000,0)</f>
        <v>0</v>
      </c>
      <c r="E412" s="7" t="n">
        <f aca="false">IF(B412="mass",INDEX(Materials!$B$5:$B$28,MATCH(C412,Materials!$A$5:$A$28,0)),0)</f>
        <v>0</v>
      </c>
      <c r="F412" s="7" t="n">
        <f aca="false">IF(B412="mass",INDEX(Materials!$C$5:$C$28,MATCH(C412,Materials!$A$5:$A$28,0)),0)</f>
        <v>0</v>
      </c>
      <c r="G412" s="7" t="n">
        <f aca="false">IF(B412="mass",INDEX(Materials!$D$5:$D$28,MATCH(C412,Materials!$A$5:$A$28,0)),0)</f>
        <v>0</v>
      </c>
      <c r="H412" s="10" t="n">
        <f aca="false">IF(B412="res",INDEX(Library!$V$5:$V$34,$U$402),0)</f>
        <v>0</v>
      </c>
      <c r="I412" s="11" t="n">
        <f aca="false">IF(B412="mass",SQRT(E412*($B$2*3600)/(PI()*F412*G412)),0)</f>
        <v>0</v>
      </c>
      <c r="J412" s="10" t="n">
        <f aca="false">IF(B412="mass",D412/I412,0)</f>
        <v>0</v>
      </c>
      <c r="K412" s="7" t="str">
        <f aca="false">IF(B412="mass",COMPLEX(COSH(J412)*COS(J412),SINH(J412)*SIN(J412)),COMPLEX(1,0))</f>
        <v>1</v>
      </c>
      <c r="L412" s="7" t="str">
        <f aca="false">IF(B412="mass",COMPLEX(-I412/(2*E412)*(SINH(J412)*COS(J412)+COSH(J412)*SIN(J412)),-I412/(2*E412)*(COSH(J412)*SIN(J412)-SINH(J412)*COS(J412))),COMPLEX(-H412,0))</f>
        <v>-0</v>
      </c>
      <c r="M412" s="7" t="str">
        <f aca="false">IF(B412="mass",COMPLEX(-E412/I412*(SINH(J412)*COS(J412)-COSH(J412)*SIN(J412)),-E412/I412*(SINH(J412)*COS(J412)+COSH(J412)*SIN(J412))),COMPLEX(0,0))</f>
        <v>0</v>
      </c>
      <c r="N412" s="7" t="str">
        <f aca="false">K412</f>
        <v>1</v>
      </c>
      <c r="O412" s="7" t="str">
        <f aca="false">IMSUM(IMPRODUCT(K412,O411),IMPRODUCT(L412,Q411))</f>
        <v>-81.0755917529049+38.1316124421191i</v>
      </c>
      <c r="P412" s="7" t="str">
        <f aca="false">IMSUM(IMPRODUCT(K412,P411),IMPRODUCT(L412,R411))</f>
        <v>14.7631922333564-14.5383417351137i</v>
      </c>
      <c r="Q412" s="7" t="str">
        <f aca="false">IMSUM(IMPRODUCT(M412,O411),IMPRODUCT(N412,Q411))</f>
        <v>78.9772913242529+99.6998207433673i</v>
      </c>
      <c r="R412" s="7" t="str">
        <f aca="false">IMSUM(IMPRODUCT(M412,P411),IMPRODUCT(N412,R411))</f>
        <v>-24.888356383815-15.6979665656681i</v>
      </c>
      <c r="S412" s="10" t="n">
        <f aca="false">IF(B412="mass",D412/E412,H412)</f>
        <v>0</v>
      </c>
      <c r="T412" s="12" t="n">
        <f aca="false">IF(B412="mass",F412*G412*D412,0)</f>
        <v>0</v>
      </c>
    </row>
    <row r="413" customFormat="false" ht="15" hidden="false" customHeight="false" outlineLevel="0" collapsed="false">
      <c r="A413" s="7" t="s">
        <v>51</v>
      </c>
      <c r="B413" s="7" t="str">
        <f aca="false">IF($W$402="ground","mass",IF($W$402="adiabatic","res","none"))</f>
        <v>none</v>
      </c>
      <c r="C413" s="7" t="str">
        <f aca="false">IF($W$402="ground","clay soil","")</f>
        <v/>
      </c>
      <c r="D413" s="11" t="n">
        <f aca="false">IF(B413="mass",1,0)</f>
        <v>0</v>
      </c>
      <c r="E413" s="7" t="n">
        <f aca="false">IF(B413="mass",INDEX(Materials!$B$5:$B$28,MATCH(C413,Materials!$A$5:$A$28,0)),0)</f>
        <v>0</v>
      </c>
      <c r="F413" s="7" t="n">
        <f aca="false">IF(B413="mass",INDEX(Materials!$C$5:$C$28,MATCH(C413,Materials!$A$5:$A$28,0)),0)</f>
        <v>0</v>
      </c>
      <c r="G413" s="7" t="n">
        <f aca="false">IF(B413="mass",INDEX(Materials!$D$5:$D$28,MATCH(C413,Materials!$A$5:$A$28,0)),0)</f>
        <v>0</v>
      </c>
      <c r="H413" s="12" t="n">
        <f aca="false">IF(B413="res",1000000,0)</f>
        <v>0</v>
      </c>
      <c r="I413" s="11" t="n">
        <f aca="false">IF(B413="mass",SQRT(E413*($B$2*3600)/(PI()*F413*G413)),0)</f>
        <v>0</v>
      </c>
      <c r="J413" s="10" t="n">
        <f aca="false">IF(B413="mass",D413/I413,0)</f>
        <v>0</v>
      </c>
      <c r="K413" s="7" t="str">
        <f aca="false">IF(B413="mass",COMPLEX(COSH(J413)*COS(J413),SINH(J413)*SIN(J413)),COMPLEX(1,0))</f>
        <v>1</v>
      </c>
      <c r="L413" s="7" t="str">
        <f aca="false">IF(B413="mass",COMPLEX(-I413/(2*E413)*(SINH(J413)*COS(J413)+COSH(J413)*SIN(J413)),-I413/(2*E413)*(COSH(J413)*SIN(J413)-SINH(J413)*COS(J413))),COMPLEX(-H413,0))</f>
        <v>-0</v>
      </c>
      <c r="M413" s="7" t="str">
        <f aca="false">IF(B413="mass",COMPLEX(-E413/I413*(SINH(J413)*COS(J413)-COSH(J413)*SIN(J413)),-E413/I413*(SINH(J413)*COS(J413)+COSH(J413)*SIN(J413))),COMPLEX(0,0))</f>
        <v>0</v>
      </c>
      <c r="N413" s="7" t="str">
        <f aca="false">K413</f>
        <v>1</v>
      </c>
      <c r="O413" s="7" t="str">
        <f aca="false">IMSUM(IMPRODUCT(K413,O412),IMPRODUCT(L413,Q412))</f>
        <v>-81.0755917529049+38.1316124421191i</v>
      </c>
      <c r="P413" s="7" t="str">
        <f aca="false">IMSUM(IMPRODUCT(K413,P412),IMPRODUCT(L413,R412))</f>
        <v>14.7631922333564-14.5383417351137i</v>
      </c>
      <c r="Q413" s="7" t="str">
        <f aca="false">IMSUM(IMPRODUCT(M413,O412),IMPRODUCT(N413,Q412))</f>
        <v>78.9772913242529+99.6998207433673i</v>
      </c>
      <c r="R413" s="7" t="str">
        <f aca="false">IMSUM(IMPRODUCT(M413,P412),IMPRODUCT(N413,R412))</f>
        <v>-24.888356383815-15.6979665656681i</v>
      </c>
      <c r="S413" s="10" t="n">
        <f aca="false">IF(B413="mass",D413/E413,H413)</f>
        <v>0</v>
      </c>
      <c r="T413" s="12" t="n">
        <f aca="false">IF(B413="mass",F413*G413*D413,0)</f>
        <v>0</v>
      </c>
    </row>
    <row r="414" customFormat="false" ht="15" hidden="false" customHeight="false" outlineLevel="0" collapsed="false">
      <c r="A414" s="7" t="s">
        <v>52</v>
      </c>
      <c r="B414" s="7" t="s">
        <v>42</v>
      </c>
      <c r="H414" s="10" t="n">
        <f aca="false">IF($W$402="ext",0.04,IF($W$402="room",$Y$402,0))</f>
        <v>0.04</v>
      </c>
      <c r="I414" s="11" t="n">
        <f aca="false">IF(B414="mass",SQRT(E414*($B$2*3600)/(PI()*F414*G414)),0)</f>
        <v>0</v>
      </c>
      <c r="J414" s="10" t="n">
        <f aca="false">IF(B414="mass",D414/I414,0)</f>
        <v>0</v>
      </c>
      <c r="K414" s="7" t="str">
        <f aca="false">IF(B414="mass",COMPLEX(COSH(J414)*COS(J414),SINH(J414)*SIN(J414)),COMPLEX(1,0))</f>
        <v>1</v>
      </c>
      <c r="L414" s="7" t="str">
        <f aca="false">IF(B414="mass",COMPLEX(-I414/(2*E414)*(SINH(J414)*COS(J414)+COSH(J414)*SIN(J414)),-I414/(2*E414)*(COSH(J414)*SIN(J414)-SINH(J414)*COS(J414))),COMPLEX(-H414,0))</f>
        <v>-0.04</v>
      </c>
      <c r="M414" s="7" t="str">
        <f aca="false">IF(B414="mass",COMPLEX(-E414/I414*(SINH(J414)*COS(J414)-COSH(J414)*SIN(J414)),-E414/I414*(SINH(J414)*COS(J414)+COSH(J414)*SIN(J414))),COMPLEX(0,0))</f>
        <v>0</v>
      </c>
      <c r="N414" s="7" t="str">
        <f aca="false">K414</f>
        <v>1</v>
      </c>
      <c r="O414" s="7" t="str">
        <f aca="false">IMSUM(IMPRODUCT(K414,O413),IMPRODUCT(L414,Q413))</f>
        <v>-84.234683405875+34.1436196123844i</v>
      </c>
      <c r="P414" s="7" t="str">
        <f aca="false">IMSUM(IMPRODUCT(K414,P413),IMPRODUCT(L414,R413))</f>
        <v>15.758726488709-13.910423072487i</v>
      </c>
      <c r="Q414" s="7" t="str">
        <f aca="false">IMSUM(IMPRODUCT(M414,O413),IMPRODUCT(N414,Q413))</f>
        <v>78.9772913242529+99.6998207433673i</v>
      </c>
      <c r="R414" s="7" t="str">
        <f aca="false">IMSUM(IMPRODUCT(M414,P413),IMPRODUCT(N414,R413))</f>
        <v>-24.888356383815-15.6979665656681i</v>
      </c>
      <c r="S414" s="10" t="n">
        <f aca="false">IF(B414="mass",D414/E414,H414)</f>
        <v>0.04</v>
      </c>
      <c r="T414" s="12" t="n">
        <f aca="false">IF(B414="mass",F414*G414*D414,0)</f>
        <v>0</v>
      </c>
    </row>
    <row r="415" customFormat="false" ht="15" hidden="false" customHeight="false" outlineLevel="0" collapsed="false">
      <c r="A415" s="9" t="s">
        <v>53</v>
      </c>
      <c r="B415" s="13" t="n">
        <f aca="false">IF(OR($W$402="ext",$W$402="ground"),1/SUM(S404:S414),"–")</f>
        <v>0.276799692285017</v>
      </c>
      <c r="C415" s="9" t="s">
        <v>54</v>
      </c>
      <c r="D415" s="13" t="n">
        <f aca="false">IMABS(IMDIV(IMPRODUCT(O414,COMPLEX(-1,0)),P414))</f>
        <v>4.32406455904863</v>
      </c>
      <c r="E415" s="9" t="s">
        <v>55</v>
      </c>
      <c r="F415" s="14" t="n">
        <f aca="false">IMARGUMENT(IMDIV(IMPRODUCT(O414,COMPLEX(-1,0)),P414))*$B$2/(2*PI())</f>
        <v>1.29137341300753</v>
      </c>
      <c r="G415" s="9" t="s">
        <v>56</v>
      </c>
      <c r="H415" s="13" t="n">
        <f aca="false">IF($W$402="ext",IMABS(IMDIV(COMPLEX(-1,0),P414))*SUM(S404:S414),"–")</f>
        <v>0.17187123348234</v>
      </c>
      <c r="I415" s="9" t="s">
        <v>57</v>
      </c>
      <c r="J415" s="14" t="n">
        <f aca="false">IF($W$402="ext",MOD(-IMARGUMENT(IMDIV(COMPLEX(-1,0),P414))*$B$2/(2*PI()),24),"–")</f>
        <v>9.23765046121772</v>
      </c>
      <c r="K415" s="9" t="s">
        <v>58</v>
      </c>
      <c r="L415" s="15" t="n">
        <f aca="false">($B$2*3600)/(2*PI())*IMABS(IMDIV(IMSUB(O414,COMPLEX(1,0)),P414))/1000</f>
        <v>60.0669344220948</v>
      </c>
      <c r="M415" s="9" t="s">
        <v>59</v>
      </c>
      <c r="N415" s="15" t="n">
        <f aca="false">SUM(T405:T412)/1000</f>
        <v>330.2</v>
      </c>
      <c r="O415" s="9" t="s">
        <v>60</v>
      </c>
      <c r="P415" s="16" t="n">
        <f aca="false">SUM(S405:S412)</f>
        <v>3.44272077922078</v>
      </c>
    </row>
    <row r="417" customFormat="false" ht="15" hidden="false" customHeight="false" outlineLevel="0" collapsed="false">
      <c r="A417" s="4" t="s">
        <v>110</v>
      </c>
    </row>
    <row r="418" customFormat="false" ht="15" hidden="false" customHeight="false" outlineLevel="0" collapsed="false">
      <c r="A418" s="9"/>
      <c r="B418" s="9" t="s">
        <v>62</v>
      </c>
      <c r="C418" s="9" t="s">
        <v>63</v>
      </c>
      <c r="D418" s="9"/>
      <c r="E418" s="9"/>
      <c r="F418" s="9"/>
      <c r="G418" s="9"/>
      <c r="H418" s="9"/>
      <c r="I418" s="9"/>
      <c r="J418" s="9"/>
      <c r="K418" s="9" t="s">
        <v>32</v>
      </c>
      <c r="L418" s="9" t="s">
        <v>33</v>
      </c>
      <c r="M418" s="9" t="s">
        <v>34</v>
      </c>
      <c r="N418" s="9" t="s">
        <v>35</v>
      </c>
      <c r="O418" s="9" t="s">
        <v>36</v>
      </c>
      <c r="P418" s="9" t="s">
        <v>37</v>
      </c>
      <c r="Q418" s="9" t="s">
        <v>38</v>
      </c>
      <c r="R418" s="9" t="s">
        <v>39</v>
      </c>
    </row>
    <row r="419" customFormat="false" ht="15" hidden="false" customHeight="false" outlineLevel="0" collapsed="false">
      <c r="A419" s="7" t="s">
        <v>22</v>
      </c>
      <c r="B419" s="7" t="s">
        <v>42</v>
      </c>
      <c r="C419" s="10" t="n">
        <f aca="false">$Y$402</f>
        <v>0.13</v>
      </c>
      <c r="K419" s="7" t="str">
        <f aca="false">COMPLEX(1,0)</f>
        <v>1</v>
      </c>
      <c r="L419" s="7" t="str">
        <f aca="false">COMPLEX(-C419,0)</f>
        <v>-0.13</v>
      </c>
      <c r="M419" s="7" t="str">
        <f aca="false">COMPLEX(0,0)</f>
        <v>0</v>
      </c>
      <c r="N419" s="7" t="str">
        <f aca="false">COMPLEX(1,0)</f>
        <v>1</v>
      </c>
      <c r="O419" s="7" t="str">
        <f aca="false">K419</f>
        <v>1</v>
      </c>
      <c r="P419" s="7" t="str">
        <f aca="false">L419</f>
        <v>-0.13</v>
      </c>
      <c r="Q419" s="7" t="str">
        <f aca="false">M419</f>
        <v>0</v>
      </c>
      <c r="R419" s="7" t="str">
        <f aca="false">N419</f>
        <v>1</v>
      </c>
    </row>
    <row r="420" customFormat="false" ht="15" hidden="false" customHeight="false" outlineLevel="0" collapsed="false">
      <c r="A420" s="7" t="s">
        <v>64</v>
      </c>
      <c r="B420" s="7" t="s">
        <v>65</v>
      </c>
      <c r="C420" s="10" t="n">
        <f aca="false">INDEX(Classes!$B$5:$F$9,MATCH(Engine!$C$401,Classes!$A$5:$A$9,0),5)*(N415*1000)</f>
        <v>330200</v>
      </c>
      <c r="K420" s="7" t="str">
        <f aca="false">COMPLEX(1,0)</f>
        <v>1</v>
      </c>
      <c r="L420" s="7" t="str">
        <f aca="false">COMPLEX(0,0)</f>
        <v>0</v>
      </c>
      <c r="M420" s="7" t="str">
        <f aca="false">COMPLEX(0,-(2*PI()/($B$2*3600))*C420)</f>
        <v>-24.0128216253553i</v>
      </c>
      <c r="N420" s="7" t="str">
        <f aca="false">COMPLEX(1,0)</f>
        <v>1</v>
      </c>
      <c r="O420" s="7" t="str">
        <f aca="false">IMSUM(IMPRODUCT(K420,O419),IMPRODUCT(L420,Q419))</f>
        <v>1</v>
      </c>
      <c r="P420" s="7" t="str">
        <f aca="false">IMSUM(IMPRODUCT(K420,P419),IMPRODUCT(L420,R419))</f>
        <v>-0.13</v>
      </c>
      <c r="Q420" s="7" t="str">
        <f aca="false">IMSUM(IMPRODUCT(M420,O419),IMPRODUCT(N420,Q419))</f>
        <v>-24.0128216253553i</v>
      </c>
      <c r="R420" s="7" t="str">
        <f aca="false">IMSUM(IMPRODUCT(M420,P419),IMPRODUCT(N420,R419))</f>
        <v>1+3.12166681129619i</v>
      </c>
    </row>
    <row r="421" customFormat="false" ht="15" hidden="false" customHeight="false" outlineLevel="0" collapsed="false">
      <c r="A421" s="7" t="s">
        <v>66</v>
      </c>
      <c r="B421" s="7" t="s">
        <v>42</v>
      </c>
      <c r="C421" s="10" t="n">
        <f aca="false">P415/6</f>
        <v>0.573786796536797</v>
      </c>
      <c r="K421" s="7" t="str">
        <f aca="false">COMPLEX(1,0)</f>
        <v>1</v>
      </c>
      <c r="L421" s="7" t="str">
        <f aca="false">COMPLEX(-C421,0)</f>
        <v>-0.573786796536797</v>
      </c>
      <c r="M421" s="7" t="str">
        <f aca="false">COMPLEX(0,0)</f>
        <v>0</v>
      </c>
      <c r="N421" s="7" t="str">
        <f aca="false">COMPLEX(1,0)</f>
        <v>1</v>
      </c>
      <c r="O421" s="7" t="str">
        <f aca="false">IMSUM(IMPRODUCT(K421,O420),IMPRODUCT(L421,Q420))</f>
        <v>1+13.7782399962221i</v>
      </c>
      <c r="P421" s="7" t="str">
        <f aca="false">IMSUM(IMPRODUCT(K421,P420),IMPRODUCT(L421,R420))</f>
        <v>-0.703786796536797-1.79117119950888i</v>
      </c>
      <c r="Q421" s="7" t="str">
        <f aca="false">IMSUM(IMPRODUCT(M421,O420),IMPRODUCT(N421,Q420))</f>
        <v>-24.0128216253553i</v>
      </c>
      <c r="R421" s="7" t="str">
        <f aca="false">IMSUM(IMPRODUCT(M421,P420),IMPRODUCT(N421,R420))</f>
        <v>1+3.12166681129619i</v>
      </c>
    </row>
    <row r="422" customFormat="false" ht="15" hidden="false" customHeight="false" outlineLevel="0" collapsed="false">
      <c r="A422" s="7" t="s">
        <v>67</v>
      </c>
      <c r="B422" s="7" t="s">
        <v>65</v>
      </c>
      <c r="C422" s="10" t="n">
        <f aca="false">INDEX(Classes!$B$5:$F$9,MATCH(Engine!$C$401,Classes!$A$5:$A$9,0),4)*(N415*1000)</f>
        <v>0</v>
      </c>
      <c r="K422" s="7" t="str">
        <f aca="false">COMPLEX(1,0)</f>
        <v>1</v>
      </c>
      <c r="L422" s="7" t="str">
        <f aca="false">COMPLEX(0,0)</f>
        <v>0</v>
      </c>
      <c r="M422" s="7" t="str">
        <f aca="false">COMPLEX(0,-(2*PI()/($B$2*3600))*C422)</f>
        <v>0</v>
      </c>
      <c r="N422" s="7" t="str">
        <f aca="false">COMPLEX(1,0)</f>
        <v>1</v>
      </c>
      <c r="O422" s="7" t="str">
        <f aca="false">IMSUM(IMPRODUCT(K422,O421),IMPRODUCT(L422,Q421))</f>
        <v>1+13.7782399962221i</v>
      </c>
      <c r="P422" s="7" t="str">
        <f aca="false">IMSUM(IMPRODUCT(K422,P421),IMPRODUCT(L422,R421))</f>
        <v>-0.703786796536797-1.79117119950888i</v>
      </c>
      <c r="Q422" s="7" t="str">
        <f aca="false">IMSUM(IMPRODUCT(M422,O421),IMPRODUCT(N422,Q421))</f>
        <v>-24.0128216253553i</v>
      </c>
      <c r="R422" s="7" t="str">
        <f aca="false">IMSUM(IMPRODUCT(M422,P421),IMPRODUCT(N422,R421))</f>
        <v>1+3.12166681129619i</v>
      </c>
    </row>
    <row r="423" customFormat="false" ht="15" hidden="false" customHeight="false" outlineLevel="0" collapsed="false">
      <c r="A423" s="7" t="s">
        <v>68</v>
      </c>
      <c r="B423" s="7" t="s">
        <v>42</v>
      </c>
      <c r="C423" s="10" t="n">
        <f aca="false">P415/3</f>
        <v>1.14757359307359</v>
      </c>
      <c r="K423" s="7" t="str">
        <f aca="false">COMPLEX(1,0)</f>
        <v>1</v>
      </c>
      <c r="L423" s="7" t="str">
        <f aca="false">COMPLEX(-C423,0)</f>
        <v>-1.14757359307359</v>
      </c>
      <c r="M423" s="7" t="str">
        <f aca="false">COMPLEX(0,0)</f>
        <v>0</v>
      </c>
      <c r="N423" s="7" t="str">
        <f aca="false">COMPLEX(1,0)</f>
        <v>1</v>
      </c>
      <c r="O423" s="7" t="str">
        <f aca="false">IMSUM(IMPRODUCT(K423,O422),IMPRODUCT(L423,Q422))</f>
        <v>1+41.3347199886663i</v>
      </c>
      <c r="P423" s="7" t="str">
        <f aca="false">IMSUM(IMPRODUCT(K423,P422),IMPRODUCT(L423,R422))</f>
        <v>-1.85136038961039-5.37351359852663i</v>
      </c>
      <c r="Q423" s="7" t="str">
        <f aca="false">IMSUM(IMPRODUCT(M423,O422),IMPRODUCT(N423,Q422))</f>
        <v>-24.0128216253553i</v>
      </c>
      <c r="R423" s="7" t="str">
        <f aca="false">IMSUM(IMPRODUCT(M423,P422),IMPRODUCT(N423,R422))</f>
        <v>1+3.12166681129619i</v>
      </c>
    </row>
    <row r="424" customFormat="false" ht="15" hidden="false" customHeight="false" outlineLevel="0" collapsed="false">
      <c r="A424" s="7" t="s">
        <v>69</v>
      </c>
      <c r="B424" s="7" t="s">
        <v>65</v>
      </c>
      <c r="C424" s="10" t="n">
        <f aca="false">INDEX(Classes!$B$5:$F$9,MATCH(Engine!$C$401,Classes!$A$5:$A$9,0),3)*(N415*1000)</f>
        <v>0</v>
      </c>
      <c r="K424" s="7" t="str">
        <f aca="false">COMPLEX(1,0)</f>
        <v>1</v>
      </c>
      <c r="L424" s="7" t="str">
        <f aca="false">COMPLEX(0,0)</f>
        <v>0</v>
      </c>
      <c r="M424" s="7" t="str">
        <f aca="false">COMPLEX(0,-(2*PI()/($B$2*3600))*C424)</f>
        <v>0</v>
      </c>
      <c r="N424" s="7" t="str">
        <f aca="false">COMPLEX(1,0)</f>
        <v>1</v>
      </c>
      <c r="O424" s="7" t="str">
        <f aca="false">IMSUM(IMPRODUCT(K424,O423),IMPRODUCT(L424,Q423))</f>
        <v>1+41.3347199886663i</v>
      </c>
      <c r="P424" s="7" t="str">
        <f aca="false">IMSUM(IMPRODUCT(K424,P423),IMPRODUCT(L424,R423))</f>
        <v>-1.85136038961039-5.37351359852663i</v>
      </c>
      <c r="Q424" s="7" t="str">
        <f aca="false">IMSUM(IMPRODUCT(M424,O423),IMPRODUCT(N424,Q423))</f>
        <v>-24.0128216253553i</v>
      </c>
      <c r="R424" s="7" t="str">
        <f aca="false">IMSUM(IMPRODUCT(M424,P423),IMPRODUCT(N424,R423))</f>
        <v>1+3.12166681129619i</v>
      </c>
    </row>
    <row r="425" customFormat="false" ht="15" hidden="false" customHeight="false" outlineLevel="0" collapsed="false">
      <c r="A425" s="7" t="s">
        <v>68</v>
      </c>
      <c r="B425" s="7" t="s">
        <v>42</v>
      </c>
      <c r="C425" s="10" t="n">
        <f aca="false">P415/3</f>
        <v>1.14757359307359</v>
      </c>
      <c r="K425" s="7" t="str">
        <f aca="false">COMPLEX(1,0)</f>
        <v>1</v>
      </c>
      <c r="L425" s="7" t="str">
        <f aca="false">COMPLEX(-C425,0)</f>
        <v>-1.14757359307359</v>
      </c>
      <c r="M425" s="7" t="str">
        <f aca="false">COMPLEX(0,0)</f>
        <v>0</v>
      </c>
      <c r="N425" s="7" t="str">
        <f aca="false">COMPLEX(1,0)</f>
        <v>1</v>
      </c>
      <c r="O425" s="7" t="str">
        <f aca="false">IMSUM(IMPRODUCT(K425,O424),IMPRODUCT(L425,Q424))</f>
        <v>1+68.8911999811105i</v>
      </c>
      <c r="P425" s="7" t="str">
        <f aca="false">IMSUM(IMPRODUCT(K425,P424),IMPRODUCT(L425,R424))</f>
        <v>-2.99893398268398-8.95585599754438i</v>
      </c>
      <c r="Q425" s="7" t="str">
        <f aca="false">IMSUM(IMPRODUCT(M425,O424),IMPRODUCT(N425,Q424))</f>
        <v>-24.0128216253553i</v>
      </c>
      <c r="R425" s="7" t="str">
        <f aca="false">IMSUM(IMPRODUCT(M425,P424),IMPRODUCT(N425,R424))</f>
        <v>1+3.12166681129619i</v>
      </c>
    </row>
    <row r="426" customFormat="false" ht="15" hidden="false" customHeight="false" outlineLevel="0" collapsed="false">
      <c r="A426" s="7" t="s">
        <v>70</v>
      </c>
      <c r="B426" s="7" t="s">
        <v>65</v>
      </c>
      <c r="C426" s="10" t="n">
        <f aca="false">INDEX(Classes!$B$5:$F$9,MATCH(Engine!$C$401,Classes!$A$5:$A$9,0),2)*(N415*1000)</f>
        <v>0</v>
      </c>
      <c r="K426" s="7" t="str">
        <f aca="false">COMPLEX(1,0)</f>
        <v>1</v>
      </c>
      <c r="L426" s="7" t="str">
        <f aca="false">COMPLEX(0,0)</f>
        <v>0</v>
      </c>
      <c r="M426" s="7" t="str">
        <f aca="false">COMPLEX(0,-(2*PI()/($B$2*3600))*C426)</f>
        <v>0</v>
      </c>
      <c r="N426" s="7" t="str">
        <f aca="false">COMPLEX(1,0)</f>
        <v>1</v>
      </c>
      <c r="O426" s="7" t="str">
        <f aca="false">IMSUM(IMPRODUCT(K426,O425),IMPRODUCT(L426,Q425))</f>
        <v>1+68.8911999811105i</v>
      </c>
      <c r="P426" s="7" t="str">
        <f aca="false">IMSUM(IMPRODUCT(K426,P425),IMPRODUCT(L426,R425))</f>
        <v>-2.99893398268398-8.95585599754438i</v>
      </c>
      <c r="Q426" s="7" t="str">
        <f aca="false">IMSUM(IMPRODUCT(M426,O425),IMPRODUCT(N426,Q425))</f>
        <v>-24.0128216253553i</v>
      </c>
      <c r="R426" s="7" t="str">
        <f aca="false">IMSUM(IMPRODUCT(M426,P425),IMPRODUCT(N426,R425))</f>
        <v>1+3.12166681129619i</v>
      </c>
    </row>
    <row r="427" customFormat="false" ht="15" hidden="false" customHeight="false" outlineLevel="0" collapsed="false">
      <c r="A427" s="7" t="s">
        <v>66</v>
      </c>
      <c r="B427" s="7" t="s">
        <v>42</v>
      </c>
      <c r="C427" s="10" t="n">
        <f aca="false">P415/6</f>
        <v>0.573786796536797</v>
      </c>
      <c r="K427" s="7" t="str">
        <f aca="false">COMPLEX(1,0)</f>
        <v>1</v>
      </c>
      <c r="L427" s="7" t="str">
        <f aca="false">COMPLEX(-C427,0)</f>
        <v>-0.573786796536797</v>
      </c>
      <c r="M427" s="7" t="str">
        <f aca="false">COMPLEX(0,0)</f>
        <v>0</v>
      </c>
      <c r="N427" s="7" t="str">
        <f aca="false">COMPLEX(1,0)</f>
        <v>1</v>
      </c>
      <c r="O427" s="7" t="str">
        <f aca="false">IMSUM(IMPRODUCT(K427,O426),IMPRODUCT(L427,Q426))</f>
        <v>1+82.6694399773326i</v>
      </c>
      <c r="P427" s="7" t="str">
        <f aca="false">IMSUM(IMPRODUCT(K427,P426),IMPRODUCT(L427,R426))</f>
        <v>-3.57272077922078-10.7470271970533i</v>
      </c>
      <c r="Q427" s="7" t="str">
        <f aca="false">IMSUM(IMPRODUCT(M427,O426),IMPRODUCT(N427,Q426))</f>
        <v>-24.0128216253553i</v>
      </c>
      <c r="R427" s="7" t="str">
        <f aca="false">IMSUM(IMPRODUCT(M427,P426),IMPRODUCT(N427,R426))</f>
        <v>1+3.12166681129619i</v>
      </c>
    </row>
    <row r="428" customFormat="false" ht="15" hidden="false" customHeight="false" outlineLevel="0" collapsed="false">
      <c r="A428" s="7" t="s">
        <v>71</v>
      </c>
      <c r="B428" s="7" t="s">
        <v>65</v>
      </c>
      <c r="C428" s="10" t="n">
        <f aca="false">INDEX(Classes!$B$5:$F$9,MATCH(Engine!$C$401,Classes!$A$5:$A$9,0),1)*(N415*1000)</f>
        <v>0</v>
      </c>
      <c r="K428" s="7" t="str">
        <f aca="false">COMPLEX(1,0)</f>
        <v>1</v>
      </c>
      <c r="L428" s="7" t="str">
        <f aca="false">COMPLEX(0,0)</f>
        <v>0</v>
      </c>
      <c r="M428" s="7" t="str">
        <f aca="false">COMPLEX(0,-(2*PI()/($B$2*3600))*C428)</f>
        <v>0</v>
      </c>
      <c r="N428" s="7" t="str">
        <f aca="false">COMPLEX(1,0)</f>
        <v>1</v>
      </c>
      <c r="O428" s="7" t="str">
        <f aca="false">IMSUM(IMPRODUCT(K428,O427),IMPRODUCT(L428,Q427))</f>
        <v>1+82.6694399773326i</v>
      </c>
      <c r="P428" s="7" t="str">
        <f aca="false">IMSUM(IMPRODUCT(K428,P427),IMPRODUCT(L428,R427))</f>
        <v>-3.57272077922078-10.7470271970533i</v>
      </c>
      <c r="Q428" s="7" t="str">
        <f aca="false">IMSUM(IMPRODUCT(M428,O427),IMPRODUCT(N428,Q427))</f>
        <v>-24.0128216253553i</v>
      </c>
      <c r="R428" s="7" t="str">
        <f aca="false">IMSUM(IMPRODUCT(M428,P427),IMPRODUCT(N428,R427))</f>
        <v>1+3.12166681129619i</v>
      </c>
    </row>
    <row r="429" customFormat="false" ht="15" hidden="false" customHeight="false" outlineLevel="0" collapsed="false">
      <c r="A429" s="7" t="s">
        <v>72</v>
      </c>
      <c r="B429" s="7" t="s">
        <v>73</v>
      </c>
      <c r="K429" s="7" t="str">
        <f aca="false">K413</f>
        <v>1</v>
      </c>
      <c r="L429" s="7" t="str">
        <f aca="false">L413</f>
        <v>-0</v>
      </c>
      <c r="M429" s="7" t="str">
        <f aca="false">M413</f>
        <v>0</v>
      </c>
      <c r="N429" s="7" t="str">
        <f aca="false">N413</f>
        <v>1</v>
      </c>
      <c r="O429" s="7" t="str">
        <f aca="false">IMSUM(IMPRODUCT(K429,O428),IMPRODUCT(L429,Q428))</f>
        <v>1+82.6694399773326i</v>
      </c>
      <c r="P429" s="7" t="str">
        <f aca="false">IMSUM(IMPRODUCT(K429,P428),IMPRODUCT(L429,R428))</f>
        <v>-3.57272077922078-10.7470271970533i</v>
      </c>
      <c r="Q429" s="7" t="str">
        <f aca="false">IMSUM(IMPRODUCT(M429,O428),IMPRODUCT(N429,Q428))</f>
        <v>-24.0128216253553i</v>
      </c>
      <c r="R429" s="7" t="str">
        <f aca="false">IMSUM(IMPRODUCT(M429,P428),IMPRODUCT(N429,R428))</f>
        <v>1+3.12166681129619i</v>
      </c>
    </row>
    <row r="430" customFormat="false" ht="15" hidden="false" customHeight="false" outlineLevel="0" collapsed="false">
      <c r="A430" s="7" t="s">
        <v>52</v>
      </c>
      <c r="B430" s="7" t="s">
        <v>73</v>
      </c>
      <c r="K430" s="7" t="str">
        <f aca="false">K414</f>
        <v>1</v>
      </c>
      <c r="L430" s="7" t="str">
        <f aca="false">L414</f>
        <v>-0.04</v>
      </c>
      <c r="M430" s="7" t="str">
        <f aca="false">M414</f>
        <v>0</v>
      </c>
      <c r="N430" s="7" t="str">
        <f aca="false">N414</f>
        <v>1</v>
      </c>
      <c r="O430" s="7" t="str">
        <f aca="false">IMSUM(IMPRODUCT(K430,O429),IMPRODUCT(L430,Q429))</f>
        <v>1+83.6299528423468i</v>
      </c>
      <c r="P430" s="7" t="str">
        <f aca="false">IMSUM(IMPRODUCT(K430,P429),IMPRODUCT(L430,R429))</f>
        <v>-3.61272077922078-10.8718938695051i</v>
      </c>
      <c r="Q430" s="7" t="str">
        <f aca="false">IMSUM(IMPRODUCT(M430,O429),IMPRODUCT(N430,Q429))</f>
        <v>-24.0128216253553i</v>
      </c>
      <c r="R430" s="7" t="str">
        <f aca="false">IMSUM(IMPRODUCT(M430,P429),IMPRODUCT(N430,R429))</f>
        <v>1+3.12166681129619i</v>
      </c>
    </row>
    <row r="431" customFormat="false" ht="15" hidden="false" customHeight="false" outlineLevel="0" collapsed="false">
      <c r="A431" s="9" t="s">
        <v>74</v>
      </c>
      <c r="B431" s="13" t="n">
        <f aca="false">IMABS(IMDIV(IMPRODUCT(O430,COMPLEX(-1,0)),P430))</f>
        <v>7.300347385398</v>
      </c>
    </row>
    <row r="434" customFormat="false" ht="15" hidden="false" customHeight="false" outlineLevel="0" collapsed="false">
      <c r="A434" s="4" t="s">
        <v>111</v>
      </c>
      <c r="B434" s="9" t="s">
        <v>18</v>
      </c>
      <c r="C434" s="7" t="str">
        <f aca="false">INDEX(Library!$F$5:$F$34,MATCH(A434,Library!$A$5:$A$34,0))</f>
        <v>D</v>
      </c>
    </row>
    <row r="435" customFormat="false" ht="15" hidden="false" customHeight="false" outlineLevel="0" collapsed="false">
      <c r="A435" s="4" t="s">
        <v>112</v>
      </c>
      <c r="T435" s="9" t="s">
        <v>20</v>
      </c>
      <c r="U435" s="7" t="n">
        <f aca="false">MATCH($A$434,Library!$A$5:$A$34,0)</f>
        <v>14</v>
      </c>
      <c r="V435" s="9" t="s">
        <v>21</v>
      </c>
      <c r="W435" s="7" t="str">
        <f aca="false">INDEX(Library!$D$5:$D$34,$U$435)</f>
        <v>ext</v>
      </c>
      <c r="X435" s="9" t="s">
        <v>22</v>
      </c>
      <c r="Y435" s="7" t="n">
        <f aca="false">INDEX(Library!$E$5:$E$34,$U$435)</f>
        <v>0.13</v>
      </c>
    </row>
    <row r="436" customFormat="false" ht="15" hidden="false" customHeight="false" outlineLevel="0" collapsed="false">
      <c r="A436" s="9"/>
      <c r="B436" s="9" t="s">
        <v>23</v>
      </c>
      <c r="C436" s="9" t="s">
        <v>24</v>
      </c>
      <c r="D436" s="9" t="s">
        <v>25</v>
      </c>
      <c r="E436" s="9" t="s">
        <v>26</v>
      </c>
      <c r="F436" s="9" t="s">
        <v>27</v>
      </c>
      <c r="G436" s="9" t="s">
        <v>28</v>
      </c>
      <c r="H436" s="9" t="s">
        <v>29</v>
      </c>
      <c r="I436" s="9" t="s">
        <v>30</v>
      </c>
      <c r="J436" s="9" t="s">
        <v>31</v>
      </c>
      <c r="K436" s="9" t="s">
        <v>32</v>
      </c>
      <c r="L436" s="9" t="s">
        <v>33</v>
      </c>
      <c r="M436" s="9" t="s">
        <v>34</v>
      </c>
      <c r="N436" s="9" t="s">
        <v>35</v>
      </c>
      <c r="O436" s="9" t="s">
        <v>36</v>
      </c>
      <c r="P436" s="9" t="s">
        <v>37</v>
      </c>
      <c r="Q436" s="9" t="s">
        <v>38</v>
      </c>
      <c r="R436" s="9" t="s">
        <v>39</v>
      </c>
      <c r="S436" s="9" t="s">
        <v>40</v>
      </c>
      <c r="T436" s="9" t="s">
        <v>41</v>
      </c>
    </row>
    <row r="437" customFormat="false" ht="15" hidden="false" customHeight="false" outlineLevel="0" collapsed="false">
      <c r="A437" s="7" t="s">
        <v>22</v>
      </c>
      <c r="B437" s="7" t="s">
        <v>42</v>
      </c>
      <c r="H437" s="10" t="n">
        <f aca="false">$Y$435</f>
        <v>0.13</v>
      </c>
      <c r="I437" s="11" t="n">
        <f aca="false">IF(B437="mass",SQRT(E437*($B$2*3600)/(PI()*F437*G437)),0)</f>
        <v>0</v>
      </c>
      <c r="J437" s="10" t="n">
        <f aca="false">IF(B437="mass",D437/I437,0)</f>
        <v>0</v>
      </c>
      <c r="K437" s="7" t="str">
        <f aca="false">IF(B437="mass",COMPLEX(COSH(J437)*COS(J437),SINH(J437)*SIN(J437)),COMPLEX(1,0))</f>
        <v>1</v>
      </c>
      <c r="L437" s="7" t="str">
        <f aca="false">IF(B437="mass",COMPLEX(-I437/(2*E437)*(SINH(J437)*COS(J437)+COSH(J437)*SIN(J437)),-I437/(2*E437)*(COSH(J437)*SIN(J437)-SINH(J437)*COS(J437))),COMPLEX(-H437,0))</f>
        <v>-0.13</v>
      </c>
      <c r="M437" s="7" t="str">
        <f aca="false">IF(B437="mass",COMPLEX(-E437/I437*(SINH(J437)*COS(J437)-COSH(J437)*SIN(J437)),-E437/I437*(SINH(J437)*COS(J437)+COSH(J437)*SIN(J437))),COMPLEX(0,0))</f>
        <v>0</v>
      </c>
      <c r="N437" s="7" t="str">
        <f aca="false">K437</f>
        <v>1</v>
      </c>
      <c r="O437" s="7" t="str">
        <f aca="false">K437</f>
        <v>1</v>
      </c>
      <c r="P437" s="7" t="str">
        <f aca="false">L437</f>
        <v>-0.13</v>
      </c>
      <c r="Q437" s="7" t="str">
        <f aca="false">M437</f>
        <v>0</v>
      </c>
      <c r="R437" s="7" t="str">
        <f aca="false">N437</f>
        <v>1</v>
      </c>
      <c r="S437" s="10" t="n">
        <f aca="false">IF(B437="mass",D437/E437,H437)</f>
        <v>0.13</v>
      </c>
      <c r="T437" s="12" t="n">
        <f aca="false">IF(B437="mass",F437*G437*D437,0)</f>
        <v>0</v>
      </c>
    </row>
    <row r="438" customFormat="false" ht="15" hidden="false" customHeight="false" outlineLevel="0" collapsed="false">
      <c r="A438" s="7" t="s">
        <v>43</v>
      </c>
      <c r="B438" s="7" t="str">
        <f aca="false">IF(C438="","none",IF(C438="Cavity","res","mass"))</f>
        <v>mass</v>
      </c>
      <c r="C438" s="7" t="str">
        <f aca="false">IF(INDEX(Library!$G$5:$G$34,$U$435)="","",INDEX(Library!$G$5:$G$34,$U$435))</f>
        <v>lime plaster</v>
      </c>
      <c r="D438" s="11" t="n">
        <f aca="false">IF(B438="mass",INDEX(Library!$H$5:$H$34,$U$435)/1000,0)</f>
        <v>0.015</v>
      </c>
      <c r="E438" s="7" t="n">
        <f aca="false">IF(B438="mass",INDEX(Materials!$B$5:$B$28,MATCH(C438,Materials!$A$5:$A$28,0)),0)</f>
        <v>0.7</v>
      </c>
      <c r="F438" s="7" t="n">
        <f aca="false">IF(B438="mass",INDEX(Materials!$C$5:$C$28,MATCH(C438,Materials!$A$5:$A$28,0)),0)</f>
        <v>1600</v>
      </c>
      <c r="G438" s="7" t="n">
        <f aca="false">IF(B438="mass",INDEX(Materials!$D$5:$D$28,MATCH(C438,Materials!$A$5:$A$28,0)),0)</f>
        <v>1000</v>
      </c>
      <c r="H438" s="10" t="n">
        <f aca="false">IF(B438="res",INDEX(Library!$H$5:$H$34,$U$435),0)</f>
        <v>0</v>
      </c>
      <c r="I438" s="11" t="n">
        <f aca="false">IF(B438="mass",SQRT(E438*($B$2*3600)/(PI()*F438*G438)),0)</f>
        <v>0.109690991871472</v>
      </c>
      <c r="J438" s="10" t="n">
        <f aca="false">IF(B438="mass",D438/I438,0)</f>
        <v>0.136747783423966</v>
      </c>
      <c r="K438" s="7" t="str">
        <f aca="false">IF(B438="mass",COMPLEX(COSH(J438)*COS(J438),SINH(J438)*SIN(J438)),COMPLEX(1,0))</f>
        <v>0.999941718654433+0.0186998836140866i</v>
      </c>
      <c r="L438" s="7" t="str">
        <f aca="false">IF(B438="mass",COMPLEX(-I438/(2*E438)*(SINH(J438)*COS(J438)+COSH(J438)*SIN(J438)),-I438/(2*E438)*(COSH(J438)*SIN(J438)-SINH(J438)*COS(J438))),COMPLEX(-H438,0))</f>
        <v>-0.0214283216512837-0.000133570893803785i</v>
      </c>
      <c r="M438" s="7" t="str">
        <f aca="false">IF(B438="mass",COMPLEX(-E438/I438*(SINH(J438)*COS(J438)-COSH(J438)*SIN(J438)),-E438/I438*(SINH(J438)*COS(J438)+COSH(J438)*SIN(J438))),COMPLEX(0,0))</f>
        <v>0.0108791754479694-1.74530890795935i</v>
      </c>
      <c r="N438" s="7" t="str">
        <f aca="false">K438</f>
        <v>0.999941718654433+0.0186998836140866i</v>
      </c>
      <c r="O438" s="7" t="str">
        <f aca="false">IMSUM(IMPRODUCT(K438,O437),IMPRODUCT(L438,Q437))</f>
        <v>0.999941718654433+0.0186998836140866i</v>
      </c>
      <c r="P438" s="7" t="str">
        <f aca="false">IMSUM(IMPRODUCT(K438,P437),IMPRODUCT(L438,R437))</f>
        <v>-0.15142074507636-0.00256455576363504i</v>
      </c>
      <c r="Q438" s="7" t="str">
        <f aca="false">IMSUM(IMPRODUCT(M438,O437),IMPRODUCT(N438,Q437))</f>
        <v>0.0108791754479694-1.74530890795935i</v>
      </c>
      <c r="R438" s="7" t="str">
        <f aca="false">IMSUM(IMPRODUCT(M438,P437),IMPRODUCT(N438,R437))</f>
        <v>0.998527425846197+0.245590041648803i</v>
      </c>
      <c r="S438" s="10" t="n">
        <f aca="false">IF(B438="mass",D438/E438,H438)</f>
        <v>0.0214285714285714</v>
      </c>
      <c r="T438" s="12" t="n">
        <f aca="false">IF(B438="mass",F438*G438*D438,0)</f>
        <v>24000</v>
      </c>
    </row>
    <row r="439" customFormat="false" ht="15" hidden="false" customHeight="false" outlineLevel="0" collapsed="false">
      <c r="A439" s="7" t="s">
        <v>44</v>
      </c>
      <c r="B439" s="7" t="str">
        <f aca="false">IF(C439="","none",IF(C439="Cavity","res","mass"))</f>
        <v>mass</v>
      </c>
      <c r="C439" s="7" t="str">
        <f aca="false">IF(INDEX(Library!$I$5:$I$34,$U$435)="","",INDEX(Library!$I$5:$I$34,$U$435))</f>
        <v>hempcrete</v>
      </c>
      <c r="D439" s="11" t="n">
        <f aca="false">IF(B439="mass",INDEX(Library!$J$5:$J$34,$U$435)/1000,0)</f>
        <v>0.3</v>
      </c>
      <c r="E439" s="7" t="n">
        <f aca="false">IF(B439="mass",INDEX(Materials!$B$5:$B$28,MATCH(C439,Materials!$A$5:$A$28,0)),0)</f>
        <v>0.07</v>
      </c>
      <c r="F439" s="7" t="n">
        <f aca="false">IF(B439="mass",INDEX(Materials!$C$5:$C$28,MATCH(C439,Materials!$A$5:$A$28,0)),0)</f>
        <v>330</v>
      </c>
      <c r="G439" s="7" t="n">
        <f aca="false">IF(B439="mass",INDEX(Materials!$D$5:$D$28,MATCH(C439,Materials!$A$5:$A$28,0)),0)</f>
        <v>1500</v>
      </c>
      <c r="H439" s="10" t="n">
        <f aca="false">IF(B439="res",INDEX(Library!$J$5:$J$34,$U$435),0)</f>
        <v>0</v>
      </c>
      <c r="I439" s="11" t="n">
        <f aca="false">IF(B439="mass",SQRT(E439*($B$2*3600)/(PI()*F439*G439)),0)</f>
        <v>0.0623631947860139</v>
      </c>
      <c r="J439" s="10" t="n">
        <f aca="false">IF(B439="mass",D439/I439,0)</f>
        <v>4.81052968869517</v>
      </c>
      <c r="K439" s="7" t="str">
        <f aca="false">IF(B439="mass",COMPLEX(COSH(J439)*COS(J439),SINH(J439)*SIN(J439)),COMPLEX(1,0))</f>
        <v>6.01640563336491-61.0988252149889i</v>
      </c>
      <c r="L439" s="7" t="str">
        <f aca="false">IF(B439="mass",COMPLEX(-I439/(2*E439)*(SINH(J439)*COS(J439)+COSH(J439)*SIN(J439)),-I439/(2*E439)*(COSH(J439)*SIN(J439)-SINH(J439)*COS(J439))),COMPLEX(-H439,0))</f>
        <v>24.5405059777361+29.8998276191987i</v>
      </c>
      <c r="M439" s="7" t="str">
        <f aca="false">IF(B439="mass",COMPLEX(-E439/I439*(SINH(J439)*COS(J439)-COSH(J439)*SIN(J439)),-E439/I439*(SINH(J439)*COS(J439)+COSH(J439)*SIN(J439))),COMPLEX(0,0))</f>
        <v>-75.3421569478109+61.8376358720571i</v>
      </c>
      <c r="N439" s="7" t="str">
        <f aca="false">K439</f>
        <v>6.01640563336491-61.0988252149889i</v>
      </c>
      <c r="O439" s="7" t="str">
        <f aca="false">IMSUM(IMPRODUCT(K439,O438),IMPRODUCT(L439,Q438))</f>
        <v>59.610011869977-103.488236426363i</v>
      </c>
      <c r="P439" s="7" t="str">
        <f aca="false">IMSUM(IMPRODUCT(K439,P438),IMPRODUCT(L439,R438))</f>
        <v>16.0935683845789+45.1189020205989i</v>
      </c>
      <c r="Q439" s="7" t="str">
        <f aca="false">IMSUM(IMPRODUCT(M439,O438),IMPRODUCT(N439,Q438))</f>
        <v>-183.064992880424+49.2599511402862i</v>
      </c>
      <c r="R439" s="7" t="str">
        <f aca="false">IMSUM(IMPRODUCT(M439,P438),IMPRODUCT(N439,R438))</f>
        <v>32.5797606653553-68.7015650887377i</v>
      </c>
      <c r="S439" s="10" t="n">
        <f aca="false">IF(B439="mass",D439/E439,H439)</f>
        <v>4.28571428571429</v>
      </c>
      <c r="T439" s="12" t="n">
        <f aca="false">IF(B439="mass",F439*G439*D439,0)</f>
        <v>148500</v>
      </c>
    </row>
    <row r="440" customFormat="false" ht="15" hidden="false" customHeight="false" outlineLevel="0" collapsed="false">
      <c r="A440" s="7" t="s">
        <v>45</v>
      </c>
      <c r="B440" s="7" t="str">
        <f aca="false">IF(C440="","none",IF(C440="Cavity","res","mass"))</f>
        <v>mass</v>
      </c>
      <c r="C440" s="7" t="str">
        <f aca="false">IF(INDEX(Library!$K$5:$K$34,$U$435)="","",INDEX(Library!$K$5:$K$34,$U$435))</f>
        <v>render</v>
      </c>
      <c r="D440" s="11" t="n">
        <f aca="false">IF(B440="mass",INDEX(Library!$L$5:$L$34,$U$435)/1000,0)</f>
        <v>0.015</v>
      </c>
      <c r="E440" s="7" t="n">
        <f aca="false">IF(B440="mass",INDEX(Materials!$B$5:$B$28,MATCH(C440,Materials!$A$5:$A$28,0)),0)</f>
        <v>0.8</v>
      </c>
      <c r="F440" s="7" t="n">
        <f aca="false">IF(B440="mass",INDEX(Materials!$C$5:$C$28,MATCH(C440,Materials!$A$5:$A$28,0)),0)</f>
        <v>1800</v>
      </c>
      <c r="G440" s="7" t="n">
        <f aca="false">IF(B440="mass",INDEX(Materials!$D$5:$D$28,MATCH(C440,Materials!$A$5:$A$28,0)),0)</f>
        <v>1000</v>
      </c>
      <c r="H440" s="10" t="n">
        <f aca="false">IF(B440="res",INDEX(Library!$L$5:$L$34,$U$435),0)</f>
        <v>0</v>
      </c>
      <c r="I440" s="11" t="n">
        <f aca="false">IF(B440="mass",SQRT(E440*($B$2*3600)/(PI()*F440*G440)),0)</f>
        <v>0.110558127830827</v>
      </c>
      <c r="J440" s="10" t="n">
        <f aca="false">IF(B440="mass",D440/I440,0)</f>
        <v>0.135675235229675</v>
      </c>
      <c r="K440" s="7" t="str">
        <f aca="false">IF(B440="mass",COMPLEX(COSH(J440)*COS(J440),SINH(J440)*SIN(J440)),COMPLEX(1,0))</f>
        <v>0.99994352571618+0.0184077001502173i</v>
      </c>
      <c r="L440" s="7" t="str">
        <f aca="false">IF(B440="mass",COMPLEX(-I440/(2*E440)*(SINH(J440)*COS(J440)+COSH(J440)*SIN(J440)),-I440/(2*E440)*(COSH(J440)*SIN(J440)-SINH(J440)*COS(J440))),COMPLEX(-H440,0))</f>
        <v>-0.0187497882213597-0.000115048373454592i</v>
      </c>
      <c r="M440" s="7" t="str">
        <f aca="false">IF(B440="mass",COMPLEX(-E440/I440*(SINH(J440)*COS(J440)-COSH(J440)*SIN(J440)),-E440/I440*(SINH(J440)*COS(J440)+COSH(J440)*SIN(J440))),COMPLEX(0,0))</f>
        <v>0.01204783749508-1.96347323108627i</v>
      </c>
      <c r="N440" s="7" t="str">
        <f aca="false">K440</f>
        <v>0.99994352571618+0.0184077001502173i</v>
      </c>
      <c r="O440" s="7" t="str">
        <f aca="false">IMSUM(IMPRODUCT(K440,O439),IMPRODUCT(L440,Q439))</f>
        <v>64.9497229869672-103.287661099882i</v>
      </c>
      <c r="P440" s="7" t="str">
        <f aca="false">IMSUM(IMPRODUCT(K440,P439),IMPRODUCT(L440,R439))</f>
        <v>14.6433566762329+46.6969910915086i</v>
      </c>
      <c r="Q440" s="7" t="str">
        <f aca="false">IMSUM(IMPRODUCT(M440,O439),IMPRODUCT(N440,Q439))</f>
        <v>-386.439627045465-72.402108343672i</v>
      </c>
      <c r="R440" s="7" t="str">
        <f aca="false">IMSUM(IMPRODUCT(M440,P439),IMPRODUCT(N440,R439))</f>
        <v>122.626207586772-99.1536722680347i</v>
      </c>
      <c r="S440" s="10" t="n">
        <f aca="false">IF(B440="mass",D440/E440,H440)</f>
        <v>0.01875</v>
      </c>
      <c r="T440" s="12" t="n">
        <f aca="false">IF(B440="mass",F440*G440*D440,0)</f>
        <v>27000</v>
      </c>
    </row>
    <row r="441" customFormat="false" ht="15" hidden="false" customHeight="false" outlineLevel="0" collapsed="false">
      <c r="A441" s="7" t="s">
        <v>46</v>
      </c>
      <c r="B441" s="7" t="str">
        <f aca="false">IF(C441="","none",IF(C441="Cavity","res","mass"))</f>
        <v>none</v>
      </c>
      <c r="C441" s="7" t="str">
        <f aca="false">IF(INDEX(Library!$M$5:$M$34,$U$435)="","",INDEX(Library!$M$5:$M$34,$U$435))</f>
        <v/>
      </c>
      <c r="D441" s="11" t="n">
        <f aca="false">IF(B441="mass",INDEX(Library!$N$5:$N$34,$U$435)/1000,0)</f>
        <v>0</v>
      </c>
      <c r="E441" s="7" t="n">
        <f aca="false">IF(B441="mass",INDEX(Materials!$B$5:$B$28,MATCH(C441,Materials!$A$5:$A$28,0)),0)</f>
        <v>0</v>
      </c>
      <c r="F441" s="7" t="n">
        <f aca="false">IF(B441="mass",INDEX(Materials!$C$5:$C$28,MATCH(C441,Materials!$A$5:$A$28,0)),0)</f>
        <v>0</v>
      </c>
      <c r="G441" s="7" t="n">
        <f aca="false">IF(B441="mass",INDEX(Materials!$D$5:$D$28,MATCH(C441,Materials!$A$5:$A$28,0)),0)</f>
        <v>0</v>
      </c>
      <c r="H441" s="10" t="n">
        <f aca="false">IF(B441="res",INDEX(Library!$N$5:$N$34,$U$435),0)</f>
        <v>0</v>
      </c>
      <c r="I441" s="11" t="n">
        <f aca="false">IF(B441="mass",SQRT(E441*($B$2*3600)/(PI()*F441*G441)),0)</f>
        <v>0</v>
      </c>
      <c r="J441" s="10" t="n">
        <f aca="false">IF(B441="mass",D441/I441,0)</f>
        <v>0</v>
      </c>
      <c r="K441" s="7" t="str">
        <f aca="false">IF(B441="mass",COMPLEX(COSH(J441)*COS(J441),SINH(J441)*SIN(J441)),COMPLEX(1,0))</f>
        <v>1</v>
      </c>
      <c r="L441" s="7" t="str">
        <f aca="false">IF(B441="mass",COMPLEX(-I441/(2*E441)*(SINH(J441)*COS(J441)+COSH(J441)*SIN(J441)),-I441/(2*E441)*(COSH(J441)*SIN(J441)-SINH(J441)*COS(J441))),COMPLEX(-H441,0))</f>
        <v>-0</v>
      </c>
      <c r="M441" s="7" t="str">
        <f aca="false">IF(B441="mass",COMPLEX(-E441/I441*(SINH(J441)*COS(J441)-COSH(J441)*SIN(J441)),-E441/I441*(SINH(J441)*COS(J441)+COSH(J441)*SIN(J441))),COMPLEX(0,0))</f>
        <v>0</v>
      </c>
      <c r="N441" s="7" t="str">
        <f aca="false">K441</f>
        <v>1</v>
      </c>
      <c r="O441" s="7" t="str">
        <f aca="false">IMSUM(IMPRODUCT(K441,O440),IMPRODUCT(L441,Q440))</f>
        <v>64.9497229869672-103.287661099882i</v>
      </c>
      <c r="P441" s="7" t="str">
        <f aca="false">IMSUM(IMPRODUCT(K441,P440),IMPRODUCT(L441,R440))</f>
        <v>14.6433566762329+46.6969910915086i</v>
      </c>
      <c r="Q441" s="7" t="str">
        <f aca="false">IMSUM(IMPRODUCT(M441,O440),IMPRODUCT(N441,Q440))</f>
        <v>-386.439627045465-72.402108343672i</v>
      </c>
      <c r="R441" s="7" t="str">
        <f aca="false">IMSUM(IMPRODUCT(M441,P440),IMPRODUCT(N441,R440))</f>
        <v>122.626207586772-99.1536722680347i</v>
      </c>
      <c r="S441" s="10" t="n">
        <f aca="false">IF(B441="mass",D441/E441,H441)</f>
        <v>0</v>
      </c>
      <c r="T441" s="12" t="n">
        <f aca="false">IF(B441="mass",F441*G441*D441,0)</f>
        <v>0</v>
      </c>
    </row>
    <row r="442" customFormat="false" ht="15" hidden="false" customHeight="false" outlineLevel="0" collapsed="false">
      <c r="A442" s="7" t="s">
        <v>47</v>
      </c>
      <c r="B442" s="7" t="str">
        <f aca="false">IF(C442="","none",IF(C442="Cavity","res","mass"))</f>
        <v>none</v>
      </c>
      <c r="C442" s="7" t="str">
        <f aca="false">IF(INDEX(Library!$O$5:$O$34,$U$435)="","",INDEX(Library!$O$5:$O$34,$U$435))</f>
        <v/>
      </c>
      <c r="D442" s="11" t="n">
        <f aca="false">IF(B442="mass",INDEX(Library!$P$5:$P$34,$U$435)/1000,0)</f>
        <v>0</v>
      </c>
      <c r="E442" s="7" t="n">
        <f aca="false">IF(B442="mass",INDEX(Materials!$B$5:$B$28,MATCH(C442,Materials!$A$5:$A$28,0)),0)</f>
        <v>0</v>
      </c>
      <c r="F442" s="7" t="n">
        <f aca="false">IF(B442="mass",INDEX(Materials!$C$5:$C$28,MATCH(C442,Materials!$A$5:$A$28,0)),0)</f>
        <v>0</v>
      </c>
      <c r="G442" s="7" t="n">
        <f aca="false">IF(B442="mass",INDEX(Materials!$D$5:$D$28,MATCH(C442,Materials!$A$5:$A$28,0)),0)</f>
        <v>0</v>
      </c>
      <c r="H442" s="10" t="n">
        <f aca="false">IF(B442="res",INDEX(Library!$P$5:$P$34,$U$435),0)</f>
        <v>0</v>
      </c>
      <c r="I442" s="11" t="n">
        <f aca="false">IF(B442="mass",SQRT(E442*($B$2*3600)/(PI()*F442*G442)),0)</f>
        <v>0</v>
      </c>
      <c r="J442" s="10" t="n">
        <f aca="false">IF(B442="mass",D442/I442,0)</f>
        <v>0</v>
      </c>
      <c r="K442" s="7" t="str">
        <f aca="false">IF(B442="mass",COMPLEX(COSH(J442)*COS(J442),SINH(J442)*SIN(J442)),COMPLEX(1,0))</f>
        <v>1</v>
      </c>
      <c r="L442" s="7" t="str">
        <f aca="false">IF(B442="mass",COMPLEX(-I442/(2*E442)*(SINH(J442)*COS(J442)+COSH(J442)*SIN(J442)),-I442/(2*E442)*(COSH(J442)*SIN(J442)-SINH(J442)*COS(J442))),COMPLEX(-H442,0))</f>
        <v>-0</v>
      </c>
      <c r="M442" s="7" t="str">
        <f aca="false">IF(B442="mass",COMPLEX(-E442/I442*(SINH(J442)*COS(J442)-COSH(J442)*SIN(J442)),-E442/I442*(SINH(J442)*COS(J442)+COSH(J442)*SIN(J442))),COMPLEX(0,0))</f>
        <v>0</v>
      </c>
      <c r="N442" s="7" t="str">
        <f aca="false">K442</f>
        <v>1</v>
      </c>
      <c r="O442" s="7" t="str">
        <f aca="false">IMSUM(IMPRODUCT(K442,O441),IMPRODUCT(L442,Q441))</f>
        <v>64.9497229869672-103.287661099882i</v>
      </c>
      <c r="P442" s="7" t="str">
        <f aca="false">IMSUM(IMPRODUCT(K442,P441),IMPRODUCT(L442,R441))</f>
        <v>14.6433566762329+46.6969910915086i</v>
      </c>
      <c r="Q442" s="7" t="str">
        <f aca="false">IMSUM(IMPRODUCT(M442,O441),IMPRODUCT(N442,Q441))</f>
        <v>-386.439627045465-72.402108343672i</v>
      </c>
      <c r="R442" s="7" t="str">
        <f aca="false">IMSUM(IMPRODUCT(M442,P441),IMPRODUCT(N442,R441))</f>
        <v>122.626207586772-99.1536722680347i</v>
      </c>
      <c r="S442" s="10" t="n">
        <f aca="false">IF(B442="mass",D442/E442,H442)</f>
        <v>0</v>
      </c>
      <c r="T442" s="12" t="n">
        <f aca="false">IF(B442="mass",F442*G442*D442,0)</f>
        <v>0</v>
      </c>
    </row>
    <row r="443" customFormat="false" ht="15" hidden="false" customHeight="false" outlineLevel="0" collapsed="false">
      <c r="A443" s="7" t="s">
        <v>48</v>
      </c>
      <c r="B443" s="7" t="str">
        <f aca="false">IF(C443="","none",IF(C443="Cavity","res","mass"))</f>
        <v>none</v>
      </c>
      <c r="C443" s="7" t="str">
        <f aca="false">IF(INDEX(Library!$Q$5:$Q$34,$U$435)="","",INDEX(Library!$Q$5:$Q$34,$U$435))</f>
        <v/>
      </c>
      <c r="D443" s="11" t="n">
        <f aca="false">IF(B443="mass",INDEX(Library!$R$5:$R$34,$U$435)/1000,0)</f>
        <v>0</v>
      </c>
      <c r="E443" s="7" t="n">
        <f aca="false">IF(B443="mass",INDEX(Materials!$B$5:$B$28,MATCH(C443,Materials!$A$5:$A$28,0)),0)</f>
        <v>0</v>
      </c>
      <c r="F443" s="7" t="n">
        <f aca="false">IF(B443="mass",INDEX(Materials!$C$5:$C$28,MATCH(C443,Materials!$A$5:$A$28,0)),0)</f>
        <v>0</v>
      </c>
      <c r="G443" s="7" t="n">
        <f aca="false">IF(B443="mass",INDEX(Materials!$D$5:$D$28,MATCH(C443,Materials!$A$5:$A$28,0)),0)</f>
        <v>0</v>
      </c>
      <c r="H443" s="10" t="n">
        <f aca="false">IF(B443="res",INDEX(Library!$R$5:$R$34,$U$435),0)</f>
        <v>0</v>
      </c>
      <c r="I443" s="11" t="n">
        <f aca="false">IF(B443="mass",SQRT(E443*($B$2*3600)/(PI()*F443*G443)),0)</f>
        <v>0</v>
      </c>
      <c r="J443" s="10" t="n">
        <f aca="false">IF(B443="mass",D443/I443,0)</f>
        <v>0</v>
      </c>
      <c r="K443" s="7" t="str">
        <f aca="false">IF(B443="mass",COMPLEX(COSH(J443)*COS(J443),SINH(J443)*SIN(J443)),COMPLEX(1,0))</f>
        <v>1</v>
      </c>
      <c r="L443" s="7" t="str">
        <f aca="false">IF(B443="mass",COMPLEX(-I443/(2*E443)*(SINH(J443)*COS(J443)+COSH(J443)*SIN(J443)),-I443/(2*E443)*(COSH(J443)*SIN(J443)-SINH(J443)*COS(J443))),COMPLEX(-H443,0))</f>
        <v>-0</v>
      </c>
      <c r="M443" s="7" t="str">
        <f aca="false">IF(B443="mass",COMPLEX(-E443/I443*(SINH(J443)*COS(J443)-COSH(J443)*SIN(J443)),-E443/I443*(SINH(J443)*COS(J443)+COSH(J443)*SIN(J443))),COMPLEX(0,0))</f>
        <v>0</v>
      </c>
      <c r="N443" s="7" t="str">
        <f aca="false">K443</f>
        <v>1</v>
      </c>
      <c r="O443" s="7" t="str">
        <f aca="false">IMSUM(IMPRODUCT(K443,O442),IMPRODUCT(L443,Q442))</f>
        <v>64.9497229869672-103.287661099882i</v>
      </c>
      <c r="P443" s="7" t="str">
        <f aca="false">IMSUM(IMPRODUCT(K443,P442),IMPRODUCT(L443,R442))</f>
        <v>14.6433566762329+46.6969910915086i</v>
      </c>
      <c r="Q443" s="7" t="str">
        <f aca="false">IMSUM(IMPRODUCT(M443,O442),IMPRODUCT(N443,Q442))</f>
        <v>-386.439627045465-72.402108343672i</v>
      </c>
      <c r="R443" s="7" t="str">
        <f aca="false">IMSUM(IMPRODUCT(M443,P442),IMPRODUCT(N443,R442))</f>
        <v>122.626207586772-99.1536722680347i</v>
      </c>
      <c r="S443" s="10" t="n">
        <f aca="false">IF(B443="mass",D443/E443,H443)</f>
        <v>0</v>
      </c>
      <c r="T443" s="12" t="n">
        <f aca="false">IF(B443="mass",F443*G443*D443,0)</f>
        <v>0</v>
      </c>
    </row>
    <row r="444" customFormat="false" ht="15" hidden="false" customHeight="false" outlineLevel="0" collapsed="false">
      <c r="A444" s="7" t="s">
        <v>49</v>
      </c>
      <c r="B444" s="7" t="str">
        <f aca="false">IF(C444="","none",IF(C444="Cavity","res","mass"))</f>
        <v>none</v>
      </c>
      <c r="C444" s="7" t="str">
        <f aca="false">IF(INDEX(Library!$S$5:$S$34,$U$435)="","",INDEX(Library!$S$5:$S$34,$U$435))</f>
        <v/>
      </c>
      <c r="D444" s="11" t="n">
        <f aca="false">IF(B444="mass",INDEX(Library!$T$5:$T$34,$U$435)/1000,0)</f>
        <v>0</v>
      </c>
      <c r="E444" s="7" t="n">
        <f aca="false">IF(B444="mass",INDEX(Materials!$B$5:$B$28,MATCH(C444,Materials!$A$5:$A$28,0)),0)</f>
        <v>0</v>
      </c>
      <c r="F444" s="7" t="n">
        <f aca="false">IF(B444="mass",INDEX(Materials!$C$5:$C$28,MATCH(C444,Materials!$A$5:$A$28,0)),0)</f>
        <v>0</v>
      </c>
      <c r="G444" s="7" t="n">
        <f aca="false">IF(B444="mass",INDEX(Materials!$D$5:$D$28,MATCH(C444,Materials!$A$5:$A$28,0)),0)</f>
        <v>0</v>
      </c>
      <c r="H444" s="10" t="n">
        <f aca="false">IF(B444="res",INDEX(Library!$T$5:$T$34,$U$435),0)</f>
        <v>0</v>
      </c>
      <c r="I444" s="11" t="n">
        <f aca="false">IF(B444="mass",SQRT(E444*($B$2*3600)/(PI()*F444*G444)),0)</f>
        <v>0</v>
      </c>
      <c r="J444" s="10" t="n">
        <f aca="false">IF(B444="mass",D444/I444,0)</f>
        <v>0</v>
      </c>
      <c r="K444" s="7" t="str">
        <f aca="false">IF(B444="mass",COMPLEX(COSH(J444)*COS(J444),SINH(J444)*SIN(J444)),COMPLEX(1,0))</f>
        <v>1</v>
      </c>
      <c r="L444" s="7" t="str">
        <f aca="false">IF(B444="mass",COMPLEX(-I444/(2*E444)*(SINH(J444)*COS(J444)+COSH(J444)*SIN(J444)),-I444/(2*E444)*(COSH(J444)*SIN(J444)-SINH(J444)*COS(J444))),COMPLEX(-H444,0))</f>
        <v>-0</v>
      </c>
      <c r="M444" s="7" t="str">
        <f aca="false">IF(B444="mass",COMPLEX(-E444/I444*(SINH(J444)*COS(J444)-COSH(J444)*SIN(J444)),-E444/I444*(SINH(J444)*COS(J444)+COSH(J444)*SIN(J444))),COMPLEX(0,0))</f>
        <v>0</v>
      </c>
      <c r="N444" s="7" t="str">
        <f aca="false">K444</f>
        <v>1</v>
      </c>
      <c r="O444" s="7" t="str">
        <f aca="false">IMSUM(IMPRODUCT(K444,O443),IMPRODUCT(L444,Q443))</f>
        <v>64.9497229869672-103.287661099882i</v>
      </c>
      <c r="P444" s="7" t="str">
        <f aca="false">IMSUM(IMPRODUCT(K444,P443),IMPRODUCT(L444,R443))</f>
        <v>14.6433566762329+46.6969910915086i</v>
      </c>
      <c r="Q444" s="7" t="str">
        <f aca="false">IMSUM(IMPRODUCT(M444,O443),IMPRODUCT(N444,Q443))</f>
        <v>-386.439627045465-72.402108343672i</v>
      </c>
      <c r="R444" s="7" t="str">
        <f aca="false">IMSUM(IMPRODUCT(M444,P443),IMPRODUCT(N444,R443))</f>
        <v>122.626207586772-99.1536722680347i</v>
      </c>
      <c r="S444" s="10" t="n">
        <f aca="false">IF(B444="mass",D444/E444,H444)</f>
        <v>0</v>
      </c>
      <c r="T444" s="12" t="n">
        <f aca="false">IF(B444="mass",F444*G444*D444,0)</f>
        <v>0</v>
      </c>
    </row>
    <row r="445" customFormat="false" ht="15" hidden="false" customHeight="false" outlineLevel="0" collapsed="false">
      <c r="A445" s="7" t="s">
        <v>50</v>
      </c>
      <c r="B445" s="7" t="str">
        <f aca="false">IF(C445="","none",IF(C445="Cavity","res","mass"))</f>
        <v>none</v>
      </c>
      <c r="C445" s="7" t="str">
        <f aca="false">IF(INDEX(Library!$U$5:$U$34,$U$435)="","",INDEX(Library!$U$5:$U$34,$U$435))</f>
        <v/>
      </c>
      <c r="D445" s="11" t="n">
        <f aca="false">IF(B445="mass",INDEX(Library!$V$5:$V$34,$U$435)/1000,0)</f>
        <v>0</v>
      </c>
      <c r="E445" s="7" t="n">
        <f aca="false">IF(B445="mass",INDEX(Materials!$B$5:$B$28,MATCH(C445,Materials!$A$5:$A$28,0)),0)</f>
        <v>0</v>
      </c>
      <c r="F445" s="7" t="n">
        <f aca="false">IF(B445="mass",INDEX(Materials!$C$5:$C$28,MATCH(C445,Materials!$A$5:$A$28,0)),0)</f>
        <v>0</v>
      </c>
      <c r="G445" s="7" t="n">
        <f aca="false">IF(B445="mass",INDEX(Materials!$D$5:$D$28,MATCH(C445,Materials!$A$5:$A$28,0)),0)</f>
        <v>0</v>
      </c>
      <c r="H445" s="10" t="n">
        <f aca="false">IF(B445="res",INDEX(Library!$V$5:$V$34,$U$435),0)</f>
        <v>0</v>
      </c>
      <c r="I445" s="11" t="n">
        <f aca="false">IF(B445="mass",SQRT(E445*($B$2*3600)/(PI()*F445*G445)),0)</f>
        <v>0</v>
      </c>
      <c r="J445" s="10" t="n">
        <f aca="false">IF(B445="mass",D445/I445,0)</f>
        <v>0</v>
      </c>
      <c r="K445" s="7" t="str">
        <f aca="false">IF(B445="mass",COMPLEX(COSH(J445)*COS(J445),SINH(J445)*SIN(J445)),COMPLEX(1,0))</f>
        <v>1</v>
      </c>
      <c r="L445" s="7" t="str">
        <f aca="false">IF(B445="mass",COMPLEX(-I445/(2*E445)*(SINH(J445)*COS(J445)+COSH(J445)*SIN(J445)),-I445/(2*E445)*(COSH(J445)*SIN(J445)-SINH(J445)*COS(J445))),COMPLEX(-H445,0))</f>
        <v>-0</v>
      </c>
      <c r="M445" s="7" t="str">
        <f aca="false">IF(B445="mass",COMPLEX(-E445/I445*(SINH(J445)*COS(J445)-COSH(J445)*SIN(J445)),-E445/I445*(SINH(J445)*COS(J445)+COSH(J445)*SIN(J445))),COMPLEX(0,0))</f>
        <v>0</v>
      </c>
      <c r="N445" s="7" t="str">
        <f aca="false">K445</f>
        <v>1</v>
      </c>
      <c r="O445" s="7" t="str">
        <f aca="false">IMSUM(IMPRODUCT(K445,O444),IMPRODUCT(L445,Q444))</f>
        <v>64.9497229869672-103.287661099882i</v>
      </c>
      <c r="P445" s="7" t="str">
        <f aca="false">IMSUM(IMPRODUCT(K445,P444),IMPRODUCT(L445,R444))</f>
        <v>14.6433566762329+46.6969910915086i</v>
      </c>
      <c r="Q445" s="7" t="str">
        <f aca="false">IMSUM(IMPRODUCT(M445,O444),IMPRODUCT(N445,Q444))</f>
        <v>-386.439627045465-72.402108343672i</v>
      </c>
      <c r="R445" s="7" t="str">
        <f aca="false">IMSUM(IMPRODUCT(M445,P444),IMPRODUCT(N445,R444))</f>
        <v>122.626207586772-99.1536722680347i</v>
      </c>
      <c r="S445" s="10" t="n">
        <f aca="false">IF(B445="mass",D445/E445,H445)</f>
        <v>0</v>
      </c>
      <c r="T445" s="12" t="n">
        <f aca="false">IF(B445="mass",F445*G445*D445,0)</f>
        <v>0</v>
      </c>
    </row>
    <row r="446" customFormat="false" ht="15" hidden="false" customHeight="false" outlineLevel="0" collapsed="false">
      <c r="A446" s="7" t="s">
        <v>51</v>
      </c>
      <c r="B446" s="7" t="str">
        <f aca="false">IF($W$435="ground","mass",IF($W$435="adiabatic","res","none"))</f>
        <v>none</v>
      </c>
      <c r="C446" s="7" t="str">
        <f aca="false">IF($W$435="ground","clay soil","")</f>
        <v/>
      </c>
      <c r="D446" s="11" t="n">
        <f aca="false">IF(B446="mass",1,0)</f>
        <v>0</v>
      </c>
      <c r="E446" s="7" t="n">
        <f aca="false">IF(B446="mass",INDEX(Materials!$B$5:$B$28,MATCH(C446,Materials!$A$5:$A$28,0)),0)</f>
        <v>0</v>
      </c>
      <c r="F446" s="7" t="n">
        <f aca="false">IF(B446="mass",INDEX(Materials!$C$5:$C$28,MATCH(C446,Materials!$A$5:$A$28,0)),0)</f>
        <v>0</v>
      </c>
      <c r="G446" s="7" t="n">
        <f aca="false">IF(B446="mass",INDEX(Materials!$D$5:$D$28,MATCH(C446,Materials!$A$5:$A$28,0)),0)</f>
        <v>0</v>
      </c>
      <c r="H446" s="12" t="n">
        <f aca="false">IF(B446="res",1000000,0)</f>
        <v>0</v>
      </c>
      <c r="I446" s="11" t="n">
        <f aca="false">IF(B446="mass",SQRT(E446*($B$2*3600)/(PI()*F446*G446)),0)</f>
        <v>0</v>
      </c>
      <c r="J446" s="10" t="n">
        <f aca="false">IF(B446="mass",D446/I446,0)</f>
        <v>0</v>
      </c>
      <c r="K446" s="7" t="str">
        <f aca="false">IF(B446="mass",COMPLEX(COSH(J446)*COS(J446),SINH(J446)*SIN(J446)),COMPLEX(1,0))</f>
        <v>1</v>
      </c>
      <c r="L446" s="7" t="str">
        <f aca="false">IF(B446="mass",COMPLEX(-I446/(2*E446)*(SINH(J446)*COS(J446)+COSH(J446)*SIN(J446)),-I446/(2*E446)*(COSH(J446)*SIN(J446)-SINH(J446)*COS(J446))),COMPLEX(-H446,0))</f>
        <v>-0</v>
      </c>
      <c r="M446" s="7" t="str">
        <f aca="false">IF(B446="mass",COMPLEX(-E446/I446*(SINH(J446)*COS(J446)-COSH(J446)*SIN(J446)),-E446/I446*(SINH(J446)*COS(J446)+COSH(J446)*SIN(J446))),COMPLEX(0,0))</f>
        <v>0</v>
      </c>
      <c r="N446" s="7" t="str">
        <f aca="false">K446</f>
        <v>1</v>
      </c>
      <c r="O446" s="7" t="str">
        <f aca="false">IMSUM(IMPRODUCT(K446,O445),IMPRODUCT(L446,Q445))</f>
        <v>64.9497229869672-103.287661099882i</v>
      </c>
      <c r="P446" s="7" t="str">
        <f aca="false">IMSUM(IMPRODUCT(K446,P445),IMPRODUCT(L446,R445))</f>
        <v>14.6433566762329+46.6969910915086i</v>
      </c>
      <c r="Q446" s="7" t="str">
        <f aca="false">IMSUM(IMPRODUCT(M446,O445),IMPRODUCT(N446,Q445))</f>
        <v>-386.439627045465-72.402108343672i</v>
      </c>
      <c r="R446" s="7" t="str">
        <f aca="false">IMSUM(IMPRODUCT(M446,P445),IMPRODUCT(N446,R445))</f>
        <v>122.626207586772-99.1536722680347i</v>
      </c>
      <c r="S446" s="10" t="n">
        <f aca="false">IF(B446="mass",D446/E446,H446)</f>
        <v>0</v>
      </c>
      <c r="T446" s="12" t="n">
        <f aca="false">IF(B446="mass",F446*G446*D446,0)</f>
        <v>0</v>
      </c>
    </row>
    <row r="447" customFormat="false" ht="15" hidden="false" customHeight="false" outlineLevel="0" collapsed="false">
      <c r="A447" s="7" t="s">
        <v>52</v>
      </c>
      <c r="B447" s="7" t="s">
        <v>42</v>
      </c>
      <c r="H447" s="10" t="n">
        <f aca="false">IF($W$435="ext",0.04,IF($W$435="room",$Y$435,0))</f>
        <v>0.04</v>
      </c>
      <c r="I447" s="11" t="n">
        <f aca="false">IF(B447="mass",SQRT(E447*($B$2*3600)/(PI()*F447*G447)),0)</f>
        <v>0</v>
      </c>
      <c r="J447" s="10" t="n">
        <f aca="false">IF(B447="mass",D447/I447,0)</f>
        <v>0</v>
      </c>
      <c r="K447" s="7" t="str">
        <f aca="false">IF(B447="mass",COMPLEX(COSH(J447)*COS(J447),SINH(J447)*SIN(J447)),COMPLEX(1,0))</f>
        <v>1</v>
      </c>
      <c r="L447" s="7" t="str">
        <f aca="false">IF(B447="mass",COMPLEX(-I447/(2*E447)*(SINH(J447)*COS(J447)+COSH(J447)*SIN(J447)),-I447/(2*E447)*(COSH(J447)*SIN(J447)-SINH(J447)*COS(J447))),COMPLEX(-H447,0))</f>
        <v>-0.04</v>
      </c>
      <c r="M447" s="7" t="str">
        <f aca="false">IF(B447="mass",COMPLEX(-E447/I447*(SINH(J447)*COS(J447)-COSH(J447)*SIN(J447)),-E447/I447*(SINH(J447)*COS(J447)+COSH(J447)*SIN(J447))),COMPLEX(0,0))</f>
        <v>0</v>
      </c>
      <c r="N447" s="7" t="str">
        <f aca="false">K447</f>
        <v>1</v>
      </c>
      <c r="O447" s="7" t="str">
        <f aca="false">IMSUM(IMPRODUCT(K447,O446),IMPRODUCT(L447,Q446))</f>
        <v>80.4073080687858-100.391576766135i</v>
      </c>
      <c r="P447" s="7" t="str">
        <f aca="false">IMSUM(IMPRODUCT(K447,P446),IMPRODUCT(L447,R446))</f>
        <v>9.73830837276202+50.66313798223i</v>
      </c>
      <c r="Q447" s="7" t="str">
        <f aca="false">IMSUM(IMPRODUCT(M447,O446),IMPRODUCT(N447,Q446))</f>
        <v>-386.439627045465-72.402108343672i</v>
      </c>
      <c r="R447" s="7" t="str">
        <f aca="false">IMSUM(IMPRODUCT(M447,P446),IMPRODUCT(N447,R446))</f>
        <v>122.626207586772-99.1536722680347i</v>
      </c>
      <c r="S447" s="10" t="n">
        <f aca="false">IF(B447="mass",D447/E447,H447)</f>
        <v>0.04</v>
      </c>
      <c r="T447" s="12" t="n">
        <f aca="false">IF(B447="mass",F447*G447*D447,0)</f>
        <v>0</v>
      </c>
    </row>
    <row r="448" customFormat="false" ht="15" hidden="false" customHeight="false" outlineLevel="0" collapsed="false">
      <c r="A448" s="9" t="s">
        <v>53</v>
      </c>
      <c r="B448" s="13" t="n">
        <f aca="false">IF(OR($W$435="ext",$W$435="ground"),1/SUM(S437:S447),"–")</f>
        <v>0.222425229376018</v>
      </c>
      <c r="C448" s="9" t="s">
        <v>54</v>
      </c>
      <c r="D448" s="13" t="n">
        <f aca="false">IMABS(IMDIV(IMPRODUCT(O447,COMPLEX(-1,0)),P447))</f>
        <v>2.49314337924246</v>
      </c>
      <c r="E448" s="9" t="s">
        <v>55</v>
      </c>
      <c r="F448" s="14" t="n">
        <f aca="false">IMARGUMENT(IMDIV(IMPRODUCT(O447,COMPLEX(-1,0)),P447))*$B$2/(2*PI())</f>
        <v>3.30486859743184</v>
      </c>
      <c r="G448" s="9" t="s">
        <v>56</v>
      </c>
      <c r="H448" s="13" t="n">
        <f aca="false">IF($W$435="ext",IMABS(IMDIV(COMPLEX(-1,0),P447))*SUM(S437:S447),"–")</f>
        <v>0.0871456114935526</v>
      </c>
      <c r="I448" s="9" t="s">
        <v>57</v>
      </c>
      <c r="J448" s="14" t="n">
        <f aca="false">IF($W$435="ext",MOD(-IMARGUMENT(IMDIV(COMPLEX(-1,0),P447))*$B$2/(2*PI()),24),"–")</f>
        <v>17.2746328497847</v>
      </c>
      <c r="K448" s="9" t="s">
        <v>58</v>
      </c>
      <c r="L448" s="15" t="n">
        <f aca="false">($B$2*3600)/(2*PI())*IMABS(IMDIV(IMSUB(O447,COMPLEX(1,0)),P447))/1000</f>
        <v>34.1171912644209</v>
      </c>
      <c r="M448" s="9" t="s">
        <v>59</v>
      </c>
      <c r="N448" s="15" t="n">
        <f aca="false">SUM(T438:T445)/1000</f>
        <v>199.5</v>
      </c>
      <c r="O448" s="9" t="s">
        <v>60</v>
      </c>
      <c r="P448" s="16" t="n">
        <f aca="false">SUM(S438:S445)</f>
        <v>4.32589285714286</v>
      </c>
    </row>
    <row r="450" customFormat="false" ht="15" hidden="false" customHeight="false" outlineLevel="0" collapsed="false">
      <c r="A450" s="4" t="s">
        <v>113</v>
      </c>
    </row>
    <row r="451" customFormat="false" ht="15" hidden="false" customHeight="false" outlineLevel="0" collapsed="false">
      <c r="A451" s="9"/>
      <c r="B451" s="9" t="s">
        <v>62</v>
      </c>
      <c r="C451" s="9" t="s">
        <v>63</v>
      </c>
      <c r="D451" s="9"/>
      <c r="E451" s="9"/>
      <c r="F451" s="9"/>
      <c r="G451" s="9"/>
      <c r="H451" s="9"/>
      <c r="I451" s="9"/>
      <c r="J451" s="9"/>
      <c r="K451" s="9" t="s">
        <v>32</v>
      </c>
      <c r="L451" s="9" t="s">
        <v>33</v>
      </c>
      <c r="M451" s="9" t="s">
        <v>34</v>
      </c>
      <c r="N451" s="9" t="s">
        <v>35</v>
      </c>
      <c r="O451" s="9" t="s">
        <v>36</v>
      </c>
      <c r="P451" s="9" t="s">
        <v>37</v>
      </c>
      <c r="Q451" s="9" t="s">
        <v>38</v>
      </c>
      <c r="R451" s="9" t="s">
        <v>39</v>
      </c>
    </row>
    <row r="452" customFormat="false" ht="15" hidden="false" customHeight="false" outlineLevel="0" collapsed="false">
      <c r="A452" s="7" t="s">
        <v>22</v>
      </c>
      <c r="B452" s="7" t="s">
        <v>42</v>
      </c>
      <c r="C452" s="10" t="n">
        <f aca="false">$Y$435</f>
        <v>0.13</v>
      </c>
      <c r="K452" s="7" t="str">
        <f aca="false">COMPLEX(1,0)</f>
        <v>1</v>
      </c>
      <c r="L452" s="7" t="str">
        <f aca="false">COMPLEX(-C452,0)</f>
        <v>-0.13</v>
      </c>
      <c r="M452" s="7" t="str">
        <f aca="false">COMPLEX(0,0)</f>
        <v>0</v>
      </c>
      <c r="N452" s="7" t="str">
        <f aca="false">COMPLEX(1,0)</f>
        <v>1</v>
      </c>
      <c r="O452" s="7" t="str">
        <f aca="false">K452</f>
        <v>1</v>
      </c>
      <c r="P452" s="7" t="str">
        <f aca="false">L452</f>
        <v>-0.13</v>
      </c>
      <c r="Q452" s="7" t="str">
        <f aca="false">M452</f>
        <v>0</v>
      </c>
      <c r="R452" s="7" t="str">
        <f aca="false">N452</f>
        <v>1</v>
      </c>
    </row>
    <row r="453" customFormat="false" ht="15" hidden="false" customHeight="false" outlineLevel="0" collapsed="false">
      <c r="A453" s="7" t="s">
        <v>64</v>
      </c>
      <c r="B453" s="7" t="s">
        <v>65</v>
      </c>
      <c r="C453" s="10" t="n">
        <f aca="false">INDEX(Classes!$B$5:$F$9,MATCH(Engine!$C$434,Classes!$A$5:$A$9,0),5)*(N448*1000)</f>
        <v>24937.5</v>
      </c>
      <c r="K453" s="7" t="str">
        <f aca="false">COMPLEX(1,0)</f>
        <v>1</v>
      </c>
      <c r="L453" s="7" t="str">
        <f aca="false">COMPLEX(0,0)</f>
        <v>0</v>
      </c>
      <c r="M453" s="7" t="str">
        <f aca="false">COMPLEX(0,-(2*PI()/($B$2*3600))*C453)</f>
        <v>-1.81350617590036i</v>
      </c>
      <c r="N453" s="7" t="str">
        <f aca="false">COMPLEX(1,0)</f>
        <v>1</v>
      </c>
      <c r="O453" s="7" t="str">
        <f aca="false">IMSUM(IMPRODUCT(K453,O452),IMPRODUCT(L453,Q452))</f>
        <v>1</v>
      </c>
      <c r="P453" s="7" t="str">
        <f aca="false">IMSUM(IMPRODUCT(K453,P452),IMPRODUCT(L453,R452))</f>
        <v>-0.13</v>
      </c>
      <c r="Q453" s="7" t="str">
        <f aca="false">IMSUM(IMPRODUCT(M453,O452),IMPRODUCT(N453,Q452))</f>
        <v>-1.81350617590036i</v>
      </c>
      <c r="R453" s="7" t="str">
        <f aca="false">IMSUM(IMPRODUCT(M453,P452),IMPRODUCT(N453,R452))</f>
        <v>1+0.235755802867047i</v>
      </c>
    </row>
    <row r="454" customFormat="false" ht="15" hidden="false" customHeight="false" outlineLevel="0" collapsed="false">
      <c r="A454" s="7" t="s">
        <v>66</v>
      </c>
      <c r="B454" s="7" t="s">
        <v>42</v>
      </c>
      <c r="C454" s="10" t="n">
        <f aca="false">P448/6</f>
        <v>0.720982142857143</v>
      </c>
      <c r="K454" s="7" t="str">
        <f aca="false">COMPLEX(1,0)</f>
        <v>1</v>
      </c>
      <c r="L454" s="7" t="str">
        <f aca="false">COMPLEX(-C454,0)</f>
        <v>-0.720982142857143</v>
      </c>
      <c r="M454" s="7" t="str">
        <f aca="false">COMPLEX(0,0)</f>
        <v>0</v>
      </c>
      <c r="N454" s="7" t="str">
        <f aca="false">COMPLEX(1,0)</f>
        <v>1</v>
      </c>
      <c r="O454" s="7" t="str">
        <f aca="false">IMSUM(IMPRODUCT(K454,O453),IMPRODUCT(L454,Q453))</f>
        <v>1+1.3075055687853i</v>
      </c>
      <c r="P454" s="7" t="str">
        <f aca="false">IMSUM(IMPRODUCT(K454,P453),IMPRODUCT(L454,R453))</f>
        <v>-0.850982142857143-0.16997572394209i</v>
      </c>
      <c r="Q454" s="7" t="str">
        <f aca="false">IMSUM(IMPRODUCT(M454,O453),IMPRODUCT(N454,Q453))</f>
        <v>-1.81350617590036i</v>
      </c>
      <c r="R454" s="7" t="str">
        <f aca="false">IMSUM(IMPRODUCT(M454,P453),IMPRODUCT(N454,R453))</f>
        <v>1+0.235755802867047i</v>
      </c>
    </row>
    <row r="455" customFormat="false" ht="15" hidden="false" customHeight="false" outlineLevel="0" collapsed="false">
      <c r="A455" s="7" t="s">
        <v>67</v>
      </c>
      <c r="B455" s="7" t="s">
        <v>65</v>
      </c>
      <c r="C455" s="10" t="n">
        <f aca="false">INDEX(Classes!$B$5:$F$9,MATCH(Engine!$C$434,Classes!$A$5:$A$9,0),4)*(N448*1000)</f>
        <v>49875</v>
      </c>
      <c r="K455" s="7" t="str">
        <f aca="false">COMPLEX(1,0)</f>
        <v>1</v>
      </c>
      <c r="L455" s="7" t="str">
        <f aca="false">COMPLEX(0,0)</f>
        <v>0</v>
      </c>
      <c r="M455" s="7" t="str">
        <f aca="false">COMPLEX(0,-(2*PI()/($B$2*3600))*C455)</f>
        <v>-3.62701235180072i</v>
      </c>
      <c r="N455" s="7" t="str">
        <f aca="false">COMPLEX(1,0)</f>
        <v>1</v>
      </c>
      <c r="O455" s="7" t="str">
        <f aca="false">IMSUM(IMPRODUCT(K455,O454),IMPRODUCT(L455,Q454))</f>
        <v>1+1.3075055687853i</v>
      </c>
      <c r="P455" s="7" t="str">
        <f aca="false">IMSUM(IMPRODUCT(K455,P454),IMPRODUCT(L455,R454))</f>
        <v>-0.850982142857143-0.16997572394209i</v>
      </c>
      <c r="Q455" s="7" t="str">
        <f aca="false">IMSUM(IMPRODUCT(M455,O454),IMPRODUCT(N455,Q454))</f>
        <v>4.74233884803251-5.44051852770108i</v>
      </c>
      <c r="R455" s="7" t="str">
        <f aca="false">IMSUM(IMPRODUCT(M455,P454),IMPRODUCT(N455,R454))</f>
        <v>0.38349594975577+3.32227854617175i</v>
      </c>
    </row>
    <row r="456" customFormat="false" ht="15" hidden="false" customHeight="false" outlineLevel="0" collapsed="false">
      <c r="A456" s="7" t="s">
        <v>68</v>
      </c>
      <c r="B456" s="7" t="s">
        <v>42</v>
      </c>
      <c r="C456" s="10" t="n">
        <f aca="false">P448/3</f>
        <v>1.44196428571429</v>
      </c>
      <c r="K456" s="7" t="str">
        <f aca="false">COMPLEX(1,0)</f>
        <v>1</v>
      </c>
      <c r="L456" s="7" t="str">
        <f aca="false">COMPLEX(-C456,0)</f>
        <v>-1.44196428571429</v>
      </c>
      <c r="M456" s="7" t="str">
        <f aca="false">COMPLEX(0,0)</f>
        <v>0</v>
      </c>
      <c r="N456" s="7" t="str">
        <f aca="false">COMPLEX(1,0)</f>
        <v>1</v>
      </c>
      <c r="O456" s="7" t="str">
        <f aca="false">IMSUM(IMPRODUCT(K456,O455),IMPRODUCT(L456,Q455))</f>
        <v>-5.83828324961833+9.15253898149715i</v>
      </c>
      <c r="P456" s="7" t="str">
        <f aca="false">IMSUM(IMPRODUCT(K456,P455),IMPRODUCT(L456,R455))</f>
        <v>-1.40396960612104-4.96058273471655i</v>
      </c>
      <c r="Q456" s="7" t="str">
        <f aca="false">IMSUM(IMPRODUCT(M456,O455),IMPRODUCT(N456,Q455))</f>
        <v>4.74233884803251-5.44051852770108i</v>
      </c>
      <c r="R456" s="7" t="str">
        <f aca="false">IMSUM(IMPRODUCT(M456,P455),IMPRODUCT(N456,R455))</f>
        <v>0.38349594975577+3.32227854617175i</v>
      </c>
    </row>
    <row r="457" customFormat="false" ht="15" hidden="false" customHeight="false" outlineLevel="0" collapsed="false">
      <c r="A457" s="7" t="s">
        <v>69</v>
      </c>
      <c r="B457" s="7" t="s">
        <v>65</v>
      </c>
      <c r="C457" s="10" t="n">
        <f aca="false">INDEX(Classes!$B$5:$F$9,MATCH(Engine!$C$434,Classes!$A$5:$A$9,0),3)*(N448*1000)</f>
        <v>49875</v>
      </c>
      <c r="K457" s="7" t="str">
        <f aca="false">COMPLEX(1,0)</f>
        <v>1</v>
      </c>
      <c r="L457" s="7" t="str">
        <f aca="false">COMPLEX(0,0)</f>
        <v>0</v>
      </c>
      <c r="M457" s="7" t="str">
        <f aca="false">COMPLEX(0,-(2*PI()/($B$2*3600))*C457)</f>
        <v>-3.62701235180072i</v>
      </c>
      <c r="N457" s="7" t="str">
        <f aca="false">COMPLEX(1,0)</f>
        <v>1</v>
      </c>
      <c r="O457" s="7" t="str">
        <f aca="false">IMSUM(IMPRODUCT(K457,O456),IMPRODUCT(L457,Q456))</f>
        <v>-5.83828324961833+9.15253898149715i</v>
      </c>
      <c r="P457" s="7" t="str">
        <f aca="false">IMSUM(IMPRODUCT(K457,P456),IMPRODUCT(L457,R456))</f>
        <v>-1.40396960612104-4.96058273471655i</v>
      </c>
      <c r="Q457" s="7" t="str">
        <f aca="false">IMSUM(IMPRODUCT(M457,O456),IMPRODUCT(N457,Q456))</f>
        <v>37.9387107842602+15.7350069319758i</v>
      </c>
      <c r="R457" s="7" t="str">
        <f aca="false">IMSUM(IMPRODUCT(M457,P456),IMPRODUCT(N457,R456))</f>
        <v>-17.6085989011905+8.41449364912555i</v>
      </c>
    </row>
    <row r="458" customFormat="false" ht="15" hidden="false" customHeight="false" outlineLevel="0" collapsed="false">
      <c r="A458" s="7" t="s">
        <v>68</v>
      </c>
      <c r="B458" s="7" t="s">
        <v>42</v>
      </c>
      <c r="C458" s="10" t="n">
        <f aca="false">P448/3</f>
        <v>1.44196428571429</v>
      </c>
      <c r="K458" s="7" t="str">
        <f aca="false">COMPLEX(1,0)</f>
        <v>1</v>
      </c>
      <c r="L458" s="7" t="str">
        <f aca="false">COMPLEX(-C458,0)</f>
        <v>-1.44196428571429</v>
      </c>
      <c r="M458" s="7" t="str">
        <f aca="false">COMPLEX(0,0)</f>
        <v>0</v>
      </c>
      <c r="N458" s="7" t="str">
        <f aca="false">COMPLEX(1,0)</f>
        <v>1</v>
      </c>
      <c r="O458" s="7" t="str">
        <f aca="false">IMSUM(IMPRODUCT(K458,O457),IMPRODUCT(L458,Q457))</f>
        <v>-60.5445492465651-13.5367790498788i</v>
      </c>
      <c r="P458" s="7" t="str">
        <f aca="false">IMSUM(IMPRODUCT(K458,P457),IMPRODUCT(L458,R457))</f>
        <v>23.9870011308636-17.0939820591253i</v>
      </c>
      <c r="Q458" s="7" t="str">
        <f aca="false">IMSUM(IMPRODUCT(M458,O457),IMPRODUCT(N458,Q457))</f>
        <v>37.9387107842602+15.7350069319758i</v>
      </c>
      <c r="R458" s="7" t="str">
        <f aca="false">IMSUM(IMPRODUCT(M458,P457),IMPRODUCT(N458,R457))</f>
        <v>-17.6085989011905+8.41449364912555i</v>
      </c>
    </row>
    <row r="459" customFormat="false" ht="15" hidden="false" customHeight="false" outlineLevel="0" collapsed="false">
      <c r="A459" s="7" t="s">
        <v>70</v>
      </c>
      <c r="B459" s="7" t="s">
        <v>65</v>
      </c>
      <c r="C459" s="10" t="n">
        <f aca="false">INDEX(Classes!$B$5:$F$9,MATCH(Engine!$C$434,Classes!$A$5:$A$9,0),2)*(N448*1000)</f>
        <v>49875</v>
      </c>
      <c r="K459" s="7" t="str">
        <f aca="false">COMPLEX(1,0)</f>
        <v>1</v>
      </c>
      <c r="L459" s="7" t="str">
        <f aca="false">COMPLEX(0,0)</f>
        <v>0</v>
      </c>
      <c r="M459" s="7" t="str">
        <f aca="false">COMPLEX(0,-(2*PI()/($B$2*3600))*C459)</f>
        <v>-3.62701235180072i</v>
      </c>
      <c r="N459" s="7" t="str">
        <f aca="false">COMPLEX(1,0)</f>
        <v>1</v>
      </c>
      <c r="O459" s="7" t="str">
        <f aca="false">IMSUM(IMPRODUCT(K459,O458),IMPRODUCT(L459,Q458))</f>
        <v>-60.5445492465651-13.5367790498788i</v>
      </c>
      <c r="P459" s="7" t="str">
        <f aca="false">IMSUM(IMPRODUCT(K459,P458),IMPRODUCT(L459,R458))</f>
        <v>23.9870011308636-17.0939820591253i</v>
      </c>
      <c r="Q459" s="7" t="str">
        <f aca="false">IMSUM(IMPRODUCT(M459,O458),IMPRODUCT(N459,Q458))</f>
        <v>-11.1593540332474+235.330834883475i</v>
      </c>
      <c r="R459" s="7" t="str">
        <f aca="false">IMSUM(IMPRODUCT(M459,P458),IMPRODUCT(N459,R458))</f>
        <v>-79.6086829710979-78.5866557351746i</v>
      </c>
    </row>
    <row r="460" customFormat="false" ht="15" hidden="false" customHeight="false" outlineLevel="0" collapsed="false">
      <c r="A460" s="7" t="s">
        <v>66</v>
      </c>
      <c r="B460" s="7" t="s">
        <v>42</v>
      </c>
      <c r="C460" s="10" t="n">
        <f aca="false">P448/6</f>
        <v>0.720982142857143</v>
      </c>
      <c r="K460" s="7" t="str">
        <f aca="false">COMPLEX(1,0)</f>
        <v>1</v>
      </c>
      <c r="L460" s="7" t="str">
        <f aca="false">COMPLEX(-C460,0)</f>
        <v>-0.720982142857143</v>
      </c>
      <c r="M460" s="7" t="str">
        <f aca="false">COMPLEX(0,0)</f>
        <v>0</v>
      </c>
      <c r="N460" s="7" t="str">
        <f aca="false">COMPLEX(1,0)</f>
        <v>1</v>
      </c>
      <c r="O460" s="7" t="str">
        <f aca="false">IMSUM(IMPRODUCT(K460,O459),IMPRODUCT(L460,Q459))</f>
        <v>-52.4988542627729-183.206108664527i</v>
      </c>
      <c r="P460" s="7" t="str">
        <f aca="false">IMSUM(IMPRODUCT(K460,P459),IMPRODUCT(L460,R459))</f>
        <v>81.3834399694007+39.5655933927975i</v>
      </c>
      <c r="Q460" s="7" t="str">
        <f aca="false">IMSUM(IMPRODUCT(M460,O459),IMPRODUCT(N460,Q459))</f>
        <v>-11.1593540332474+235.330834883475i</v>
      </c>
      <c r="R460" s="7" t="str">
        <f aca="false">IMSUM(IMPRODUCT(M460,P459),IMPRODUCT(N460,R459))</f>
        <v>-79.6086829710979-78.5866557351746i</v>
      </c>
    </row>
    <row r="461" customFormat="false" ht="15" hidden="false" customHeight="false" outlineLevel="0" collapsed="false">
      <c r="A461" s="7" t="s">
        <v>71</v>
      </c>
      <c r="B461" s="7" t="s">
        <v>65</v>
      </c>
      <c r="C461" s="10" t="n">
        <f aca="false">INDEX(Classes!$B$5:$F$9,MATCH(Engine!$C$434,Classes!$A$5:$A$9,0),1)*(N448*1000)</f>
        <v>24937.5</v>
      </c>
      <c r="K461" s="7" t="str">
        <f aca="false">COMPLEX(1,0)</f>
        <v>1</v>
      </c>
      <c r="L461" s="7" t="str">
        <f aca="false">COMPLEX(0,0)</f>
        <v>0</v>
      </c>
      <c r="M461" s="7" t="str">
        <f aca="false">COMPLEX(0,-(2*PI()/($B$2*3600))*C461)</f>
        <v>-1.81350617590036i</v>
      </c>
      <c r="N461" s="7" t="str">
        <f aca="false">COMPLEX(1,0)</f>
        <v>1</v>
      </c>
      <c r="O461" s="7" t="str">
        <f aca="false">IMSUM(IMPRODUCT(K461,O460),IMPRODUCT(L461,Q460))</f>
        <v>-52.4988542627729-183.206108664527i</v>
      </c>
      <c r="P461" s="7" t="str">
        <f aca="false">IMSUM(IMPRODUCT(K461,P460),IMPRODUCT(L461,R460))</f>
        <v>81.3834399694007+39.5655933927975i</v>
      </c>
      <c r="Q461" s="7" t="str">
        <f aca="false">IMSUM(IMPRODUCT(M461,O460),IMPRODUCT(N461,Q460))</f>
        <v>-343.404763559039+330.537831316707i</v>
      </c>
      <c r="R461" s="7" t="str">
        <f aca="false">IMSUM(IMPRODUCT(M461,P460),IMPRODUCT(N461,R460))</f>
        <v>-7.8562350000972-226.176026735699i</v>
      </c>
    </row>
    <row r="462" customFormat="false" ht="15" hidden="false" customHeight="false" outlineLevel="0" collapsed="false">
      <c r="A462" s="7" t="s">
        <v>72</v>
      </c>
      <c r="B462" s="7" t="s">
        <v>73</v>
      </c>
      <c r="K462" s="7" t="str">
        <f aca="false">K446</f>
        <v>1</v>
      </c>
      <c r="L462" s="7" t="str">
        <f aca="false">L446</f>
        <v>-0</v>
      </c>
      <c r="M462" s="7" t="str">
        <f aca="false">M446</f>
        <v>0</v>
      </c>
      <c r="N462" s="7" t="str">
        <f aca="false">N446</f>
        <v>1</v>
      </c>
      <c r="O462" s="7" t="str">
        <f aca="false">IMSUM(IMPRODUCT(K462,O461),IMPRODUCT(L462,Q461))</f>
        <v>-52.4988542627729-183.206108664527i</v>
      </c>
      <c r="P462" s="7" t="str">
        <f aca="false">IMSUM(IMPRODUCT(K462,P461),IMPRODUCT(L462,R461))</f>
        <v>81.3834399694007+39.5655933927975i</v>
      </c>
      <c r="Q462" s="7" t="str">
        <f aca="false">IMSUM(IMPRODUCT(M462,O461),IMPRODUCT(N462,Q461))</f>
        <v>-343.404763559039+330.537831316707i</v>
      </c>
      <c r="R462" s="7" t="str">
        <f aca="false">IMSUM(IMPRODUCT(M462,P461),IMPRODUCT(N462,R461))</f>
        <v>-7.8562350000972-226.176026735699i</v>
      </c>
    </row>
    <row r="463" customFormat="false" ht="15" hidden="false" customHeight="false" outlineLevel="0" collapsed="false">
      <c r="A463" s="7" t="s">
        <v>52</v>
      </c>
      <c r="B463" s="7" t="s">
        <v>73</v>
      </c>
      <c r="K463" s="7" t="str">
        <f aca="false">K447</f>
        <v>1</v>
      </c>
      <c r="L463" s="7" t="str">
        <f aca="false">L447</f>
        <v>-0.04</v>
      </c>
      <c r="M463" s="7" t="str">
        <f aca="false">M447</f>
        <v>0</v>
      </c>
      <c r="N463" s="7" t="str">
        <f aca="false">N447</f>
        <v>1</v>
      </c>
      <c r="O463" s="7" t="str">
        <f aca="false">IMSUM(IMPRODUCT(K463,O462),IMPRODUCT(L463,Q462))</f>
        <v>-38.7626637204113-196.427621917195i</v>
      </c>
      <c r="P463" s="7" t="str">
        <f aca="false">IMSUM(IMPRODUCT(K463,P462),IMPRODUCT(L463,R462))</f>
        <v>81.6976893694046+48.6126344622255i</v>
      </c>
      <c r="Q463" s="7" t="str">
        <f aca="false">IMSUM(IMPRODUCT(M463,O462),IMPRODUCT(N463,Q462))</f>
        <v>-343.404763559039+330.537831316707i</v>
      </c>
      <c r="R463" s="7" t="str">
        <f aca="false">IMSUM(IMPRODUCT(M463,P462),IMPRODUCT(N463,R462))</f>
        <v>-7.8562350000972-226.176026735699i</v>
      </c>
    </row>
    <row r="464" customFormat="false" ht="15" hidden="false" customHeight="false" outlineLevel="0" collapsed="false">
      <c r="A464" s="9" t="s">
        <v>74</v>
      </c>
      <c r="B464" s="13" t="n">
        <f aca="false">IMABS(IMDIV(IMPRODUCT(O463,COMPLEX(-1,0)),P463))</f>
        <v>2.10605304682281</v>
      </c>
    </row>
    <row r="467" customFormat="false" ht="15" hidden="false" customHeight="false" outlineLevel="0" collapsed="false">
      <c r="A467" s="4" t="s">
        <v>114</v>
      </c>
      <c r="B467" s="9" t="s">
        <v>18</v>
      </c>
      <c r="C467" s="7" t="str">
        <f aca="false">INDEX(Library!$F$5:$F$34,MATCH(A467,Library!$A$5:$A$34,0))</f>
        <v>I</v>
      </c>
    </row>
    <row r="468" customFormat="false" ht="15" hidden="false" customHeight="false" outlineLevel="0" collapsed="false">
      <c r="A468" s="4" t="s">
        <v>115</v>
      </c>
      <c r="T468" s="9" t="s">
        <v>20</v>
      </c>
      <c r="U468" s="7" t="n">
        <f aca="false">MATCH($A$467,Library!$A$5:$A$34,0)</f>
        <v>15</v>
      </c>
      <c r="V468" s="9" t="s">
        <v>21</v>
      </c>
      <c r="W468" s="7" t="str">
        <f aca="false">INDEX(Library!$D$5:$D$34,$U$468)</f>
        <v>ext</v>
      </c>
      <c r="X468" s="9" t="s">
        <v>22</v>
      </c>
      <c r="Y468" s="7" t="n">
        <f aca="false">INDEX(Library!$E$5:$E$34,$U$468)</f>
        <v>0.13</v>
      </c>
    </row>
    <row r="469" customFormat="false" ht="15" hidden="false" customHeight="false" outlineLevel="0" collapsed="false">
      <c r="A469" s="9"/>
      <c r="B469" s="9" t="s">
        <v>23</v>
      </c>
      <c r="C469" s="9" t="s">
        <v>24</v>
      </c>
      <c r="D469" s="9" t="s">
        <v>25</v>
      </c>
      <c r="E469" s="9" t="s">
        <v>26</v>
      </c>
      <c r="F469" s="9" t="s">
        <v>27</v>
      </c>
      <c r="G469" s="9" t="s">
        <v>28</v>
      </c>
      <c r="H469" s="9" t="s">
        <v>29</v>
      </c>
      <c r="I469" s="9" t="s">
        <v>30</v>
      </c>
      <c r="J469" s="9" t="s">
        <v>31</v>
      </c>
      <c r="K469" s="9" t="s">
        <v>32</v>
      </c>
      <c r="L469" s="9" t="s">
        <v>33</v>
      </c>
      <c r="M469" s="9" t="s">
        <v>34</v>
      </c>
      <c r="N469" s="9" t="s">
        <v>35</v>
      </c>
      <c r="O469" s="9" t="s">
        <v>36</v>
      </c>
      <c r="P469" s="9" t="s">
        <v>37</v>
      </c>
      <c r="Q469" s="9" t="s">
        <v>38</v>
      </c>
      <c r="R469" s="9" t="s">
        <v>39</v>
      </c>
      <c r="S469" s="9" t="s">
        <v>40</v>
      </c>
      <c r="T469" s="9" t="s">
        <v>41</v>
      </c>
    </row>
    <row r="470" customFormat="false" ht="15" hidden="false" customHeight="false" outlineLevel="0" collapsed="false">
      <c r="A470" s="7" t="s">
        <v>22</v>
      </c>
      <c r="B470" s="7" t="s">
        <v>42</v>
      </c>
      <c r="H470" s="10" t="n">
        <f aca="false">$Y$468</f>
        <v>0.13</v>
      </c>
      <c r="I470" s="11" t="n">
        <f aca="false">IF(B470="mass",SQRT(E470*($B$2*3600)/(PI()*F470*G470)),0)</f>
        <v>0</v>
      </c>
      <c r="J470" s="10" t="n">
        <f aca="false">IF(B470="mass",D470/I470,0)</f>
        <v>0</v>
      </c>
      <c r="K470" s="7" t="str">
        <f aca="false">IF(B470="mass",COMPLEX(COSH(J470)*COS(J470),SINH(J470)*SIN(J470)),COMPLEX(1,0))</f>
        <v>1</v>
      </c>
      <c r="L470" s="7" t="str">
        <f aca="false">IF(B470="mass",COMPLEX(-I470/(2*E470)*(SINH(J470)*COS(J470)+COSH(J470)*SIN(J470)),-I470/(2*E470)*(COSH(J470)*SIN(J470)-SINH(J470)*COS(J470))),COMPLEX(-H470,0))</f>
        <v>-0.13</v>
      </c>
      <c r="M470" s="7" t="str">
        <f aca="false">IF(B470="mass",COMPLEX(-E470/I470*(SINH(J470)*COS(J470)-COSH(J470)*SIN(J470)),-E470/I470*(SINH(J470)*COS(J470)+COSH(J470)*SIN(J470))),COMPLEX(0,0))</f>
        <v>0</v>
      </c>
      <c r="N470" s="7" t="str">
        <f aca="false">K470</f>
        <v>1</v>
      </c>
      <c r="O470" s="7" t="str">
        <f aca="false">K470</f>
        <v>1</v>
      </c>
      <c r="P470" s="7" t="str">
        <f aca="false">L470</f>
        <v>-0.13</v>
      </c>
      <c r="Q470" s="7" t="str">
        <f aca="false">M470</f>
        <v>0</v>
      </c>
      <c r="R470" s="7" t="str">
        <f aca="false">N470</f>
        <v>1</v>
      </c>
      <c r="S470" s="10" t="n">
        <f aca="false">IF(B470="mass",D470/E470,H470)</f>
        <v>0.13</v>
      </c>
      <c r="T470" s="12" t="n">
        <f aca="false">IF(B470="mass",F470*G470*D470,0)</f>
        <v>0</v>
      </c>
    </row>
    <row r="471" customFormat="false" ht="15" hidden="false" customHeight="false" outlineLevel="0" collapsed="false">
      <c r="A471" s="7" t="s">
        <v>43</v>
      </c>
      <c r="B471" s="7" t="str">
        <f aca="false">IF(C471="","none",IF(C471="Cavity","res","mass"))</f>
        <v>mass</v>
      </c>
      <c r="C471" s="7" t="str">
        <f aca="false">IF(INDEX(Library!$G$5:$G$34,$U$468)="","",INDEX(Library!$G$5:$G$34,$U$468))</f>
        <v>rammed earth</v>
      </c>
      <c r="D471" s="11" t="n">
        <f aca="false">IF(B471="mass",INDEX(Library!$H$5:$H$34,$U$468)/1000,0)</f>
        <v>0.3</v>
      </c>
      <c r="E471" s="7" t="n">
        <f aca="false">IF(B471="mass",INDEX(Materials!$B$5:$B$28,MATCH(C471,Materials!$A$5:$A$28,0)),0)</f>
        <v>1</v>
      </c>
      <c r="F471" s="7" t="n">
        <f aca="false">IF(B471="mass",INDEX(Materials!$C$5:$C$28,MATCH(C471,Materials!$A$5:$A$28,0)),0)</f>
        <v>1900</v>
      </c>
      <c r="G471" s="7" t="n">
        <f aca="false">IF(B471="mass",INDEX(Materials!$D$5:$D$28,MATCH(C471,Materials!$A$5:$A$28,0)),0)</f>
        <v>900</v>
      </c>
      <c r="H471" s="10" t="n">
        <f aca="false">IF(B471="res",INDEX(Library!$H$5:$H$34,$U$468),0)</f>
        <v>0</v>
      </c>
      <c r="I471" s="11" t="n">
        <f aca="false">IF(B471="mass",SQRT(E471*($B$2*3600)/(PI()*F471*G471)),0)</f>
        <v>0.126818870158323</v>
      </c>
      <c r="J471" s="10" t="n">
        <f aca="false">IF(B471="mass",D471/I471,0)</f>
        <v>2.36557855802905</v>
      </c>
      <c r="K471" s="7" t="str">
        <f aca="false">IF(B471="mass",COMPLEX(COSH(J471)*COS(J471),SINH(J471)*SIN(J471)),COMPLEX(1,0))</f>
        <v>-3.83408942075373+3.69702981882852i</v>
      </c>
      <c r="L471" s="7" t="str">
        <f aca="false">IF(B471="mass",COMPLEX(-I471/(2*E471)*(SINH(J471)*COS(J471)+COSH(J471)*SIN(J471)),-I471/(2*E471)*(COSH(J471)*SIN(J471)-SINH(J471)*COS(J471))),COMPLEX(-H471,0))</f>
        <v>0.000271260574673803-0.477465003972282i</v>
      </c>
      <c r="M471" s="7" t="str">
        <f aca="false">IF(B471="mass",COMPLEX(-E471/I471*(SINH(J471)*COS(J471)-COSH(J471)*SIN(J471)),-E471/I471*(SINH(J471)*COS(J471)+COSH(J471)*SIN(J471))),COMPLEX(0,0))</f>
        <v>59.3750217243444+0.0337325298822323i</v>
      </c>
      <c r="N471" s="7" t="str">
        <f aca="false">K471</f>
        <v>-3.83408942075373+3.69702981882852i</v>
      </c>
      <c r="O471" s="7" t="str">
        <f aca="false">IMSUM(IMPRODUCT(K471,O470),IMPRODUCT(L471,Q470))</f>
        <v>-3.83408942075373+3.69702981882852i</v>
      </c>
      <c r="P471" s="7" t="str">
        <f aca="false">IMSUM(IMPRODUCT(K471,P470),IMPRODUCT(L471,R470))</f>
        <v>0.498702885272659-0.95807888041999i</v>
      </c>
      <c r="Q471" s="7" t="str">
        <f aca="false">IMSUM(IMPRODUCT(M471,O470),IMPRODUCT(N471,Q470))</f>
        <v>59.3750217243444+0.0337325298822323i</v>
      </c>
      <c r="R471" s="7" t="str">
        <f aca="false">IMSUM(IMPRODUCT(M471,P470),IMPRODUCT(N471,R470))</f>
        <v>-11.5528422449185+3.69264458994383i</v>
      </c>
      <c r="S471" s="10" t="n">
        <f aca="false">IF(B471="mass",D471/E471,H471)</f>
        <v>0.3</v>
      </c>
      <c r="T471" s="12" t="n">
        <f aca="false">IF(B471="mass",F471*G471*D471,0)</f>
        <v>513000</v>
      </c>
    </row>
    <row r="472" customFormat="false" ht="15" hidden="false" customHeight="false" outlineLevel="0" collapsed="false">
      <c r="A472" s="7" t="s">
        <v>44</v>
      </c>
      <c r="B472" s="7" t="str">
        <f aca="false">IF(C472="","none",IF(C472="Cavity","res","mass"))</f>
        <v>mass</v>
      </c>
      <c r="C472" s="7" t="str">
        <f aca="false">IF(INDEX(Library!$I$5:$I$34,$U$468)="","",INDEX(Library!$I$5:$I$34,$U$468))</f>
        <v>wood fibre</v>
      </c>
      <c r="D472" s="11" t="n">
        <f aca="false">IF(B472="mass",INDEX(Library!$J$5:$J$34,$U$468)/1000,0)</f>
        <v>0.12</v>
      </c>
      <c r="E472" s="7" t="n">
        <f aca="false">IF(B472="mass",INDEX(Materials!$B$5:$B$28,MATCH(C472,Materials!$A$5:$A$28,0)),0)</f>
        <v>0.038</v>
      </c>
      <c r="F472" s="7" t="n">
        <f aca="false">IF(B472="mass",INDEX(Materials!$C$5:$C$28,MATCH(C472,Materials!$A$5:$A$28,0)),0)</f>
        <v>160</v>
      </c>
      <c r="G472" s="7" t="n">
        <f aca="false">IF(B472="mass",INDEX(Materials!$D$5:$D$28,MATCH(C472,Materials!$A$5:$A$28,0)),0)</f>
        <v>2100</v>
      </c>
      <c r="H472" s="10" t="n">
        <f aca="false">IF(B472="res",INDEX(Library!$J$5:$J$34,$U$468),0)</f>
        <v>0</v>
      </c>
      <c r="I472" s="11" t="n">
        <f aca="false">IF(B472="mass",SQRT(E472*($B$2*3600)/(PI()*F472*G472)),0)</f>
        <v>0.055770443035935</v>
      </c>
      <c r="J472" s="10" t="n">
        <f aca="false">IF(B472="mass",D472/I472,0)</f>
        <v>2.15167736649823</v>
      </c>
      <c r="K472" s="7" t="str">
        <f aca="false">IF(B472="mass",COMPLEX(COSH(J472)*COS(J472),SINH(J472)*SIN(J472)),COMPLEX(1,0))</f>
        <v>-2.39137814666329+3.54579929300362i</v>
      </c>
      <c r="L472" s="7" t="str">
        <f aca="false">IF(B472="mass",COMPLEX(-I472/(2*E472)*(SINH(J472)*COS(J472)+COSH(J472)*SIN(J472)),-I472/(2*E472)*(COSH(J472)*SIN(J472)-SINH(J472)*COS(J472))),COMPLEX(-H472,0))</f>
        <v>-0.965306460528258-4.38133907397298i</v>
      </c>
      <c r="M472" s="7" t="str">
        <f aca="false">IF(B472="mass",COMPLEX(-E472/I472*(SINH(J472)*COS(J472)-COSH(J472)*SIN(J472)),-E472/I472*(SINH(J472)*COS(J472)+COSH(J472)*SIN(J472))),COMPLEX(0,0))</f>
        <v>4.06813976031414-0.89630168463591i</v>
      </c>
      <c r="N472" s="7" t="str">
        <f aca="false">K472</f>
        <v>-2.39137814666329+3.54579929300362i</v>
      </c>
      <c r="O472" s="7" t="str">
        <f aca="false">IMSUM(IMPRODUCT(K472,O471),IMPRODUCT(L472,Q471))</f>
        <v>-61.1074664779504-282.61057280162i</v>
      </c>
      <c r="P472" s="7" t="str">
        <f aca="false">IMSUM(IMPRODUCT(K472,P471),IMPRODUCT(L472,R471))</f>
        <v>29.5353295200153+51.1118146994343i</v>
      </c>
      <c r="Q472" s="7" t="str">
        <f aca="false">IMSUM(IMPRODUCT(M472,O471),IMPRODUCT(N472,Q471))</f>
        <v>-154.391695752266+228.927777625373i</v>
      </c>
      <c r="R472" s="7" t="str">
        <f aca="false">IMSUM(IMPRODUCT(M472,P471),IMPRODUCT(N472,R471))</f>
        <v>15.7039032216367-54.139156463157i</v>
      </c>
      <c r="S472" s="10" t="n">
        <f aca="false">IF(B472="mass",D472/E472,H472)</f>
        <v>3.15789473684211</v>
      </c>
      <c r="T472" s="12" t="n">
        <f aca="false">IF(B472="mass",F472*G472*D472,0)</f>
        <v>40320</v>
      </c>
    </row>
    <row r="473" customFormat="false" ht="15" hidden="false" customHeight="false" outlineLevel="0" collapsed="false">
      <c r="A473" s="7" t="s">
        <v>45</v>
      </c>
      <c r="B473" s="7" t="str">
        <f aca="false">IF(C473="","none",IF(C473="Cavity","res","mass"))</f>
        <v>mass</v>
      </c>
      <c r="C473" s="7" t="str">
        <f aca="false">IF(INDEX(Library!$K$5:$K$34,$U$468)="","",INDEX(Library!$K$5:$K$34,$U$468))</f>
        <v>render</v>
      </c>
      <c r="D473" s="11" t="n">
        <f aca="false">IF(B473="mass",INDEX(Library!$L$5:$L$34,$U$468)/1000,0)</f>
        <v>0.01</v>
      </c>
      <c r="E473" s="7" t="n">
        <f aca="false">IF(B473="mass",INDEX(Materials!$B$5:$B$28,MATCH(C473,Materials!$A$5:$A$28,0)),0)</f>
        <v>0.8</v>
      </c>
      <c r="F473" s="7" t="n">
        <f aca="false">IF(B473="mass",INDEX(Materials!$C$5:$C$28,MATCH(C473,Materials!$A$5:$A$28,0)),0)</f>
        <v>1800</v>
      </c>
      <c r="G473" s="7" t="n">
        <f aca="false">IF(B473="mass",INDEX(Materials!$D$5:$D$28,MATCH(C473,Materials!$A$5:$A$28,0)),0)</f>
        <v>1000</v>
      </c>
      <c r="H473" s="10" t="n">
        <f aca="false">IF(B473="res",INDEX(Library!$L$5:$L$34,$U$468),0)</f>
        <v>0</v>
      </c>
      <c r="I473" s="11" t="n">
        <f aca="false">IF(B473="mass",SQRT(E473*($B$2*3600)/(PI()*F473*G473)),0)</f>
        <v>0.110558127830827</v>
      </c>
      <c r="J473" s="10" t="n">
        <f aca="false">IF(B473="mass",D473/I473,0)</f>
        <v>0.0904501568197835</v>
      </c>
      <c r="K473" s="7" t="str">
        <f aca="false">IF(B473="mass",COMPLEX(COSH(J473)*COS(J473),SINH(J473)*SIN(J473)),COMPLEX(1,0))</f>
        <v>0.99998884457869+0.00818122478438429i</v>
      </c>
      <c r="L473" s="7" t="str">
        <f aca="false">IF(B473="mass",COMPLEX(-I473/(2*E473)*(SINH(J473)*COS(J473)+COSH(J473)*SIN(J473)),-I473/(2*E473)*(COSH(J473)*SIN(J473)-SINH(J473)*COS(J473))),COMPLEX(-H473,0))</f>
        <v>-0.0124999721114447-3.40884510881232e-05i</v>
      </c>
      <c r="M473" s="7" t="str">
        <f aca="false">IF(B473="mass",COMPLEX(-E473/I473*(SINH(J473)*COS(J473)-COSH(J473)*SIN(J473)),-E473/I473*(SINH(J473)*COS(J473)+COSH(J473)*SIN(J473))),COMPLEX(0,0))</f>
        <v>0.00356973425035676-1.30899401851307i</v>
      </c>
      <c r="N473" s="7" t="str">
        <f aca="false">K473</f>
        <v>0.99998884457869+0.00818122478438429i</v>
      </c>
      <c r="O473" s="7" t="str">
        <f aca="false">IMSUM(IMPRODUCT(K473,O472),IMPRODUCT(L473,Q472))</f>
        <v>-56.8569884913907-285.963681942957i</v>
      </c>
      <c r="P473" s="7" t="str">
        <f aca="false">IMSUM(IMPRODUCT(K473,P472),IMPRODUCT(L473,R472))</f>
        <v>28.9186989234788+52.0290823196812i</v>
      </c>
      <c r="Q473" s="7" t="str">
        <f aca="false">IMSUM(IMPRODUCT(M473,O472),IMPRODUCT(N473,Q472))</f>
        <v>-526.416569837908+306.642574136655i</v>
      </c>
      <c r="R473" s="7" t="str">
        <f aca="false">IMSUM(IMPRODUCT(M473,P472),IMPRODUCT(N473,R472))</f>
        <v>83.1571456409332-92.489189436791i</v>
      </c>
      <c r="S473" s="10" t="n">
        <f aca="false">IF(B473="mass",D473/E473,H473)</f>
        <v>0.0125</v>
      </c>
      <c r="T473" s="12" t="n">
        <f aca="false">IF(B473="mass",F473*G473*D473,0)</f>
        <v>18000</v>
      </c>
    </row>
    <row r="474" customFormat="false" ht="15" hidden="false" customHeight="false" outlineLevel="0" collapsed="false">
      <c r="A474" s="7" t="s">
        <v>46</v>
      </c>
      <c r="B474" s="7" t="str">
        <f aca="false">IF(C474="","none",IF(C474="Cavity","res","mass"))</f>
        <v>none</v>
      </c>
      <c r="C474" s="7" t="str">
        <f aca="false">IF(INDEX(Library!$M$5:$M$34,$U$468)="","",INDEX(Library!$M$5:$M$34,$U$468))</f>
        <v/>
      </c>
      <c r="D474" s="11" t="n">
        <f aca="false">IF(B474="mass",INDEX(Library!$N$5:$N$34,$U$468)/1000,0)</f>
        <v>0</v>
      </c>
      <c r="E474" s="7" t="n">
        <f aca="false">IF(B474="mass",INDEX(Materials!$B$5:$B$28,MATCH(C474,Materials!$A$5:$A$28,0)),0)</f>
        <v>0</v>
      </c>
      <c r="F474" s="7" t="n">
        <f aca="false">IF(B474="mass",INDEX(Materials!$C$5:$C$28,MATCH(C474,Materials!$A$5:$A$28,0)),0)</f>
        <v>0</v>
      </c>
      <c r="G474" s="7" t="n">
        <f aca="false">IF(B474="mass",INDEX(Materials!$D$5:$D$28,MATCH(C474,Materials!$A$5:$A$28,0)),0)</f>
        <v>0</v>
      </c>
      <c r="H474" s="10" t="n">
        <f aca="false">IF(B474="res",INDEX(Library!$N$5:$N$34,$U$468),0)</f>
        <v>0</v>
      </c>
      <c r="I474" s="11" t="n">
        <f aca="false">IF(B474="mass",SQRT(E474*($B$2*3600)/(PI()*F474*G474)),0)</f>
        <v>0</v>
      </c>
      <c r="J474" s="10" t="n">
        <f aca="false">IF(B474="mass",D474/I474,0)</f>
        <v>0</v>
      </c>
      <c r="K474" s="7" t="str">
        <f aca="false">IF(B474="mass",COMPLEX(COSH(J474)*COS(J474),SINH(J474)*SIN(J474)),COMPLEX(1,0))</f>
        <v>1</v>
      </c>
      <c r="L474" s="7" t="str">
        <f aca="false">IF(B474="mass",COMPLEX(-I474/(2*E474)*(SINH(J474)*COS(J474)+COSH(J474)*SIN(J474)),-I474/(2*E474)*(COSH(J474)*SIN(J474)-SINH(J474)*COS(J474))),COMPLEX(-H474,0))</f>
        <v>-0</v>
      </c>
      <c r="M474" s="7" t="str">
        <f aca="false">IF(B474="mass",COMPLEX(-E474/I474*(SINH(J474)*COS(J474)-COSH(J474)*SIN(J474)),-E474/I474*(SINH(J474)*COS(J474)+COSH(J474)*SIN(J474))),COMPLEX(0,0))</f>
        <v>0</v>
      </c>
      <c r="N474" s="7" t="str">
        <f aca="false">K474</f>
        <v>1</v>
      </c>
      <c r="O474" s="7" t="str">
        <f aca="false">IMSUM(IMPRODUCT(K474,O473),IMPRODUCT(L474,Q473))</f>
        <v>-56.8569884913907-285.963681942957i</v>
      </c>
      <c r="P474" s="7" t="str">
        <f aca="false">IMSUM(IMPRODUCT(K474,P473),IMPRODUCT(L474,R473))</f>
        <v>28.9186989234788+52.0290823196812i</v>
      </c>
      <c r="Q474" s="7" t="str">
        <f aca="false">IMSUM(IMPRODUCT(M474,O473),IMPRODUCT(N474,Q473))</f>
        <v>-526.416569837908+306.642574136655i</v>
      </c>
      <c r="R474" s="7" t="str">
        <f aca="false">IMSUM(IMPRODUCT(M474,P473),IMPRODUCT(N474,R473))</f>
        <v>83.1571456409332-92.489189436791i</v>
      </c>
      <c r="S474" s="10" t="n">
        <f aca="false">IF(B474="mass",D474/E474,H474)</f>
        <v>0</v>
      </c>
      <c r="T474" s="12" t="n">
        <f aca="false">IF(B474="mass",F474*G474*D474,0)</f>
        <v>0</v>
      </c>
    </row>
    <row r="475" customFormat="false" ht="15" hidden="false" customHeight="false" outlineLevel="0" collapsed="false">
      <c r="A475" s="7" t="s">
        <v>47</v>
      </c>
      <c r="B475" s="7" t="str">
        <f aca="false">IF(C475="","none",IF(C475="Cavity","res","mass"))</f>
        <v>none</v>
      </c>
      <c r="C475" s="7" t="str">
        <f aca="false">IF(INDEX(Library!$O$5:$O$34,$U$468)="","",INDEX(Library!$O$5:$O$34,$U$468))</f>
        <v/>
      </c>
      <c r="D475" s="11" t="n">
        <f aca="false">IF(B475="mass",INDEX(Library!$P$5:$P$34,$U$468)/1000,0)</f>
        <v>0</v>
      </c>
      <c r="E475" s="7" t="n">
        <f aca="false">IF(B475="mass",INDEX(Materials!$B$5:$B$28,MATCH(C475,Materials!$A$5:$A$28,0)),0)</f>
        <v>0</v>
      </c>
      <c r="F475" s="7" t="n">
        <f aca="false">IF(B475="mass",INDEX(Materials!$C$5:$C$28,MATCH(C475,Materials!$A$5:$A$28,0)),0)</f>
        <v>0</v>
      </c>
      <c r="G475" s="7" t="n">
        <f aca="false">IF(B475="mass",INDEX(Materials!$D$5:$D$28,MATCH(C475,Materials!$A$5:$A$28,0)),0)</f>
        <v>0</v>
      </c>
      <c r="H475" s="10" t="n">
        <f aca="false">IF(B475="res",INDEX(Library!$P$5:$P$34,$U$468),0)</f>
        <v>0</v>
      </c>
      <c r="I475" s="11" t="n">
        <f aca="false">IF(B475="mass",SQRT(E475*($B$2*3600)/(PI()*F475*G475)),0)</f>
        <v>0</v>
      </c>
      <c r="J475" s="10" t="n">
        <f aca="false">IF(B475="mass",D475/I475,0)</f>
        <v>0</v>
      </c>
      <c r="K475" s="7" t="str">
        <f aca="false">IF(B475="mass",COMPLEX(COSH(J475)*COS(J475),SINH(J475)*SIN(J475)),COMPLEX(1,0))</f>
        <v>1</v>
      </c>
      <c r="L475" s="7" t="str">
        <f aca="false">IF(B475="mass",COMPLEX(-I475/(2*E475)*(SINH(J475)*COS(J475)+COSH(J475)*SIN(J475)),-I475/(2*E475)*(COSH(J475)*SIN(J475)-SINH(J475)*COS(J475))),COMPLEX(-H475,0))</f>
        <v>-0</v>
      </c>
      <c r="M475" s="7" t="str">
        <f aca="false">IF(B475="mass",COMPLEX(-E475/I475*(SINH(J475)*COS(J475)-COSH(J475)*SIN(J475)),-E475/I475*(SINH(J475)*COS(J475)+COSH(J475)*SIN(J475))),COMPLEX(0,0))</f>
        <v>0</v>
      </c>
      <c r="N475" s="7" t="str">
        <f aca="false">K475</f>
        <v>1</v>
      </c>
      <c r="O475" s="7" t="str">
        <f aca="false">IMSUM(IMPRODUCT(K475,O474),IMPRODUCT(L475,Q474))</f>
        <v>-56.8569884913907-285.963681942957i</v>
      </c>
      <c r="P475" s="7" t="str">
        <f aca="false">IMSUM(IMPRODUCT(K475,P474),IMPRODUCT(L475,R474))</f>
        <v>28.9186989234788+52.0290823196812i</v>
      </c>
      <c r="Q475" s="7" t="str">
        <f aca="false">IMSUM(IMPRODUCT(M475,O474),IMPRODUCT(N475,Q474))</f>
        <v>-526.416569837908+306.642574136655i</v>
      </c>
      <c r="R475" s="7" t="str">
        <f aca="false">IMSUM(IMPRODUCT(M475,P474),IMPRODUCT(N475,R474))</f>
        <v>83.1571456409332-92.489189436791i</v>
      </c>
      <c r="S475" s="10" t="n">
        <f aca="false">IF(B475="mass",D475/E475,H475)</f>
        <v>0</v>
      </c>
      <c r="T475" s="12" t="n">
        <f aca="false">IF(B475="mass",F475*G475*D475,0)</f>
        <v>0</v>
      </c>
    </row>
    <row r="476" customFormat="false" ht="15" hidden="false" customHeight="false" outlineLevel="0" collapsed="false">
      <c r="A476" s="7" t="s">
        <v>48</v>
      </c>
      <c r="B476" s="7" t="str">
        <f aca="false">IF(C476="","none",IF(C476="Cavity","res","mass"))</f>
        <v>none</v>
      </c>
      <c r="C476" s="7" t="str">
        <f aca="false">IF(INDEX(Library!$Q$5:$Q$34,$U$468)="","",INDEX(Library!$Q$5:$Q$34,$U$468))</f>
        <v/>
      </c>
      <c r="D476" s="11" t="n">
        <f aca="false">IF(B476="mass",INDEX(Library!$R$5:$R$34,$U$468)/1000,0)</f>
        <v>0</v>
      </c>
      <c r="E476" s="7" t="n">
        <f aca="false">IF(B476="mass",INDEX(Materials!$B$5:$B$28,MATCH(C476,Materials!$A$5:$A$28,0)),0)</f>
        <v>0</v>
      </c>
      <c r="F476" s="7" t="n">
        <f aca="false">IF(B476="mass",INDEX(Materials!$C$5:$C$28,MATCH(C476,Materials!$A$5:$A$28,0)),0)</f>
        <v>0</v>
      </c>
      <c r="G476" s="7" t="n">
        <f aca="false">IF(B476="mass",INDEX(Materials!$D$5:$D$28,MATCH(C476,Materials!$A$5:$A$28,0)),0)</f>
        <v>0</v>
      </c>
      <c r="H476" s="10" t="n">
        <f aca="false">IF(B476="res",INDEX(Library!$R$5:$R$34,$U$468),0)</f>
        <v>0</v>
      </c>
      <c r="I476" s="11" t="n">
        <f aca="false">IF(B476="mass",SQRT(E476*($B$2*3600)/(PI()*F476*G476)),0)</f>
        <v>0</v>
      </c>
      <c r="J476" s="10" t="n">
        <f aca="false">IF(B476="mass",D476/I476,0)</f>
        <v>0</v>
      </c>
      <c r="K476" s="7" t="str">
        <f aca="false">IF(B476="mass",COMPLEX(COSH(J476)*COS(J476),SINH(J476)*SIN(J476)),COMPLEX(1,0))</f>
        <v>1</v>
      </c>
      <c r="L476" s="7" t="str">
        <f aca="false">IF(B476="mass",COMPLEX(-I476/(2*E476)*(SINH(J476)*COS(J476)+COSH(J476)*SIN(J476)),-I476/(2*E476)*(COSH(J476)*SIN(J476)-SINH(J476)*COS(J476))),COMPLEX(-H476,0))</f>
        <v>-0</v>
      </c>
      <c r="M476" s="7" t="str">
        <f aca="false">IF(B476="mass",COMPLEX(-E476/I476*(SINH(J476)*COS(J476)-COSH(J476)*SIN(J476)),-E476/I476*(SINH(J476)*COS(J476)+COSH(J476)*SIN(J476))),COMPLEX(0,0))</f>
        <v>0</v>
      </c>
      <c r="N476" s="7" t="str">
        <f aca="false">K476</f>
        <v>1</v>
      </c>
      <c r="O476" s="7" t="str">
        <f aca="false">IMSUM(IMPRODUCT(K476,O475),IMPRODUCT(L476,Q475))</f>
        <v>-56.8569884913907-285.963681942957i</v>
      </c>
      <c r="P476" s="7" t="str">
        <f aca="false">IMSUM(IMPRODUCT(K476,P475),IMPRODUCT(L476,R475))</f>
        <v>28.9186989234788+52.0290823196812i</v>
      </c>
      <c r="Q476" s="7" t="str">
        <f aca="false">IMSUM(IMPRODUCT(M476,O475),IMPRODUCT(N476,Q475))</f>
        <v>-526.416569837908+306.642574136655i</v>
      </c>
      <c r="R476" s="7" t="str">
        <f aca="false">IMSUM(IMPRODUCT(M476,P475),IMPRODUCT(N476,R475))</f>
        <v>83.1571456409332-92.489189436791i</v>
      </c>
      <c r="S476" s="10" t="n">
        <f aca="false">IF(B476="mass",D476/E476,H476)</f>
        <v>0</v>
      </c>
      <c r="T476" s="12" t="n">
        <f aca="false">IF(B476="mass",F476*G476*D476,0)</f>
        <v>0</v>
      </c>
    </row>
    <row r="477" customFormat="false" ht="15" hidden="false" customHeight="false" outlineLevel="0" collapsed="false">
      <c r="A477" s="7" t="s">
        <v>49</v>
      </c>
      <c r="B477" s="7" t="str">
        <f aca="false">IF(C477="","none",IF(C477="Cavity","res","mass"))</f>
        <v>none</v>
      </c>
      <c r="C477" s="7" t="str">
        <f aca="false">IF(INDEX(Library!$S$5:$S$34,$U$468)="","",INDEX(Library!$S$5:$S$34,$U$468))</f>
        <v/>
      </c>
      <c r="D477" s="11" t="n">
        <f aca="false">IF(B477="mass",INDEX(Library!$T$5:$T$34,$U$468)/1000,0)</f>
        <v>0</v>
      </c>
      <c r="E477" s="7" t="n">
        <f aca="false">IF(B477="mass",INDEX(Materials!$B$5:$B$28,MATCH(C477,Materials!$A$5:$A$28,0)),0)</f>
        <v>0</v>
      </c>
      <c r="F477" s="7" t="n">
        <f aca="false">IF(B477="mass",INDEX(Materials!$C$5:$C$28,MATCH(C477,Materials!$A$5:$A$28,0)),0)</f>
        <v>0</v>
      </c>
      <c r="G477" s="7" t="n">
        <f aca="false">IF(B477="mass",INDEX(Materials!$D$5:$D$28,MATCH(C477,Materials!$A$5:$A$28,0)),0)</f>
        <v>0</v>
      </c>
      <c r="H477" s="10" t="n">
        <f aca="false">IF(B477="res",INDEX(Library!$T$5:$T$34,$U$468),0)</f>
        <v>0</v>
      </c>
      <c r="I477" s="11" t="n">
        <f aca="false">IF(B477="mass",SQRT(E477*($B$2*3600)/(PI()*F477*G477)),0)</f>
        <v>0</v>
      </c>
      <c r="J477" s="10" t="n">
        <f aca="false">IF(B477="mass",D477/I477,0)</f>
        <v>0</v>
      </c>
      <c r="K477" s="7" t="str">
        <f aca="false">IF(B477="mass",COMPLEX(COSH(J477)*COS(J477),SINH(J477)*SIN(J477)),COMPLEX(1,0))</f>
        <v>1</v>
      </c>
      <c r="L477" s="7" t="str">
        <f aca="false">IF(B477="mass",COMPLEX(-I477/(2*E477)*(SINH(J477)*COS(J477)+COSH(J477)*SIN(J477)),-I477/(2*E477)*(COSH(J477)*SIN(J477)-SINH(J477)*COS(J477))),COMPLEX(-H477,0))</f>
        <v>-0</v>
      </c>
      <c r="M477" s="7" t="str">
        <f aca="false">IF(B477="mass",COMPLEX(-E477/I477*(SINH(J477)*COS(J477)-COSH(J477)*SIN(J477)),-E477/I477*(SINH(J477)*COS(J477)+COSH(J477)*SIN(J477))),COMPLEX(0,0))</f>
        <v>0</v>
      </c>
      <c r="N477" s="7" t="str">
        <f aca="false">K477</f>
        <v>1</v>
      </c>
      <c r="O477" s="7" t="str">
        <f aca="false">IMSUM(IMPRODUCT(K477,O476),IMPRODUCT(L477,Q476))</f>
        <v>-56.8569884913907-285.963681942957i</v>
      </c>
      <c r="P477" s="7" t="str">
        <f aca="false">IMSUM(IMPRODUCT(K477,P476),IMPRODUCT(L477,R476))</f>
        <v>28.9186989234788+52.0290823196812i</v>
      </c>
      <c r="Q477" s="7" t="str">
        <f aca="false">IMSUM(IMPRODUCT(M477,O476),IMPRODUCT(N477,Q476))</f>
        <v>-526.416569837908+306.642574136655i</v>
      </c>
      <c r="R477" s="7" t="str">
        <f aca="false">IMSUM(IMPRODUCT(M477,P476),IMPRODUCT(N477,R476))</f>
        <v>83.1571456409332-92.489189436791i</v>
      </c>
      <c r="S477" s="10" t="n">
        <f aca="false">IF(B477="mass",D477/E477,H477)</f>
        <v>0</v>
      </c>
      <c r="T477" s="12" t="n">
        <f aca="false">IF(B477="mass",F477*G477*D477,0)</f>
        <v>0</v>
      </c>
    </row>
    <row r="478" customFormat="false" ht="15" hidden="false" customHeight="false" outlineLevel="0" collapsed="false">
      <c r="A478" s="7" t="s">
        <v>50</v>
      </c>
      <c r="B478" s="7" t="str">
        <f aca="false">IF(C478="","none",IF(C478="Cavity","res","mass"))</f>
        <v>none</v>
      </c>
      <c r="C478" s="7" t="str">
        <f aca="false">IF(INDEX(Library!$U$5:$U$34,$U$468)="","",INDEX(Library!$U$5:$U$34,$U$468))</f>
        <v/>
      </c>
      <c r="D478" s="11" t="n">
        <f aca="false">IF(B478="mass",INDEX(Library!$V$5:$V$34,$U$468)/1000,0)</f>
        <v>0</v>
      </c>
      <c r="E478" s="7" t="n">
        <f aca="false">IF(B478="mass",INDEX(Materials!$B$5:$B$28,MATCH(C478,Materials!$A$5:$A$28,0)),0)</f>
        <v>0</v>
      </c>
      <c r="F478" s="7" t="n">
        <f aca="false">IF(B478="mass",INDEX(Materials!$C$5:$C$28,MATCH(C478,Materials!$A$5:$A$28,0)),0)</f>
        <v>0</v>
      </c>
      <c r="G478" s="7" t="n">
        <f aca="false">IF(B478="mass",INDEX(Materials!$D$5:$D$28,MATCH(C478,Materials!$A$5:$A$28,0)),0)</f>
        <v>0</v>
      </c>
      <c r="H478" s="10" t="n">
        <f aca="false">IF(B478="res",INDEX(Library!$V$5:$V$34,$U$468),0)</f>
        <v>0</v>
      </c>
      <c r="I478" s="11" t="n">
        <f aca="false">IF(B478="mass",SQRT(E478*($B$2*3600)/(PI()*F478*G478)),0)</f>
        <v>0</v>
      </c>
      <c r="J478" s="10" t="n">
        <f aca="false">IF(B478="mass",D478/I478,0)</f>
        <v>0</v>
      </c>
      <c r="K478" s="7" t="str">
        <f aca="false">IF(B478="mass",COMPLEX(COSH(J478)*COS(J478),SINH(J478)*SIN(J478)),COMPLEX(1,0))</f>
        <v>1</v>
      </c>
      <c r="L478" s="7" t="str">
        <f aca="false">IF(B478="mass",COMPLEX(-I478/(2*E478)*(SINH(J478)*COS(J478)+COSH(J478)*SIN(J478)),-I478/(2*E478)*(COSH(J478)*SIN(J478)-SINH(J478)*COS(J478))),COMPLEX(-H478,0))</f>
        <v>-0</v>
      </c>
      <c r="M478" s="7" t="str">
        <f aca="false">IF(B478="mass",COMPLEX(-E478/I478*(SINH(J478)*COS(J478)-COSH(J478)*SIN(J478)),-E478/I478*(SINH(J478)*COS(J478)+COSH(J478)*SIN(J478))),COMPLEX(0,0))</f>
        <v>0</v>
      </c>
      <c r="N478" s="7" t="str">
        <f aca="false">K478</f>
        <v>1</v>
      </c>
      <c r="O478" s="7" t="str">
        <f aca="false">IMSUM(IMPRODUCT(K478,O477),IMPRODUCT(L478,Q477))</f>
        <v>-56.8569884913907-285.963681942957i</v>
      </c>
      <c r="P478" s="7" t="str">
        <f aca="false">IMSUM(IMPRODUCT(K478,P477),IMPRODUCT(L478,R477))</f>
        <v>28.9186989234788+52.0290823196812i</v>
      </c>
      <c r="Q478" s="7" t="str">
        <f aca="false">IMSUM(IMPRODUCT(M478,O477),IMPRODUCT(N478,Q477))</f>
        <v>-526.416569837908+306.642574136655i</v>
      </c>
      <c r="R478" s="7" t="str">
        <f aca="false">IMSUM(IMPRODUCT(M478,P477),IMPRODUCT(N478,R477))</f>
        <v>83.1571456409332-92.489189436791i</v>
      </c>
      <c r="S478" s="10" t="n">
        <f aca="false">IF(B478="mass",D478/E478,H478)</f>
        <v>0</v>
      </c>
      <c r="T478" s="12" t="n">
        <f aca="false">IF(B478="mass",F478*G478*D478,0)</f>
        <v>0</v>
      </c>
    </row>
    <row r="479" customFormat="false" ht="15" hidden="false" customHeight="false" outlineLevel="0" collapsed="false">
      <c r="A479" s="7" t="s">
        <v>51</v>
      </c>
      <c r="B479" s="7" t="str">
        <f aca="false">IF($W$468="ground","mass",IF($W$468="adiabatic","res","none"))</f>
        <v>none</v>
      </c>
      <c r="C479" s="7" t="str">
        <f aca="false">IF($W$468="ground","clay soil","")</f>
        <v/>
      </c>
      <c r="D479" s="11" t="n">
        <f aca="false">IF(B479="mass",1,0)</f>
        <v>0</v>
      </c>
      <c r="E479" s="7" t="n">
        <f aca="false">IF(B479="mass",INDEX(Materials!$B$5:$B$28,MATCH(C479,Materials!$A$5:$A$28,0)),0)</f>
        <v>0</v>
      </c>
      <c r="F479" s="7" t="n">
        <f aca="false">IF(B479="mass",INDEX(Materials!$C$5:$C$28,MATCH(C479,Materials!$A$5:$A$28,0)),0)</f>
        <v>0</v>
      </c>
      <c r="G479" s="7" t="n">
        <f aca="false">IF(B479="mass",INDEX(Materials!$D$5:$D$28,MATCH(C479,Materials!$A$5:$A$28,0)),0)</f>
        <v>0</v>
      </c>
      <c r="H479" s="12" t="n">
        <f aca="false">IF(B479="res",1000000,0)</f>
        <v>0</v>
      </c>
      <c r="I479" s="11" t="n">
        <f aca="false">IF(B479="mass",SQRT(E479*($B$2*3600)/(PI()*F479*G479)),0)</f>
        <v>0</v>
      </c>
      <c r="J479" s="10" t="n">
        <f aca="false">IF(B479="mass",D479/I479,0)</f>
        <v>0</v>
      </c>
      <c r="K479" s="7" t="str">
        <f aca="false">IF(B479="mass",COMPLEX(COSH(J479)*COS(J479),SINH(J479)*SIN(J479)),COMPLEX(1,0))</f>
        <v>1</v>
      </c>
      <c r="L479" s="7" t="str">
        <f aca="false">IF(B479="mass",COMPLEX(-I479/(2*E479)*(SINH(J479)*COS(J479)+COSH(J479)*SIN(J479)),-I479/(2*E479)*(COSH(J479)*SIN(J479)-SINH(J479)*COS(J479))),COMPLEX(-H479,0))</f>
        <v>-0</v>
      </c>
      <c r="M479" s="7" t="str">
        <f aca="false">IF(B479="mass",COMPLEX(-E479/I479*(SINH(J479)*COS(J479)-COSH(J479)*SIN(J479)),-E479/I479*(SINH(J479)*COS(J479)+COSH(J479)*SIN(J479))),COMPLEX(0,0))</f>
        <v>0</v>
      </c>
      <c r="N479" s="7" t="str">
        <f aca="false">K479</f>
        <v>1</v>
      </c>
      <c r="O479" s="7" t="str">
        <f aca="false">IMSUM(IMPRODUCT(K479,O478),IMPRODUCT(L479,Q478))</f>
        <v>-56.8569884913907-285.963681942957i</v>
      </c>
      <c r="P479" s="7" t="str">
        <f aca="false">IMSUM(IMPRODUCT(K479,P478),IMPRODUCT(L479,R478))</f>
        <v>28.9186989234788+52.0290823196812i</v>
      </c>
      <c r="Q479" s="7" t="str">
        <f aca="false">IMSUM(IMPRODUCT(M479,O478),IMPRODUCT(N479,Q478))</f>
        <v>-526.416569837908+306.642574136655i</v>
      </c>
      <c r="R479" s="7" t="str">
        <f aca="false">IMSUM(IMPRODUCT(M479,P478),IMPRODUCT(N479,R478))</f>
        <v>83.1571456409332-92.489189436791i</v>
      </c>
      <c r="S479" s="10" t="n">
        <f aca="false">IF(B479="mass",D479/E479,H479)</f>
        <v>0</v>
      </c>
      <c r="T479" s="12" t="n">
        <f aca="false">IF(B479="mass",F479*G479*D479,0)</f>
        <v>0</v>
      </c>
    </row>
    <row r="480" customFormat="false" ht="15" hidden="false" customHeight="false" outlineLevel="0" collapsed="false">
      <c r="A480" s="7" t="s">
        <v>52</v>
      </c>
      <c r="B480" s="7" t="s">
        <v>42</v>
      </c>
      <c r="H480" s="10" t="n">
        <f aca="false">IF($W$468="ext",0.04,IF($W$468="room",$Y$468,0))</f>
        <v>0.04</v>
      </c>
      <c r="I480" s="11" t="n">
        <f aca="false">IF(B480="mass",SQRT(E480*($B$2*3600)/(PI()*F480*G480)),0)</f>
        <v>0</v>
      </c>
      <c r="J480" s="10" t="n">
        <f aca="false">IF(B480="mass",D480/I480,0)</f>
        <v>0</v>
      </c>
      <c r="K480" s="7" t="str">
        <f aca="false">IF(B480="mass",COMPLEX(COSH(J480)*COS(J480),SINH(J480)*SIN(J480)),COMPLEX(1,0))</f>
        <v>1</v>
      </c>
      <c r="L480" s="7" t="str">
        <f aca="false">IF(B480="mass",COMPLEX(-I480/(2*E480)*(SINH(J480)*COS(J480)+COSH(J480)*SIN(J480)),-I480/(2*E480)*(COSH(J480)*SIN(J480)-SINH(J480)*COS(J480))),COMPLEX(-H480,0))</f>
        <v>-0.04</v>
      </c>
      <c r="M480" s="7" t="str">
        <f aca="false">IF(B480="mass",COMPLEX(-E480/I480*(SINH(J480)*COS(J480)-COSH(J480)*SIN(J480)),-E480/I480*(SINH(J480)*COS(J480)+COSH(J480)*SIN(J480))),COMPLEX(0,0))</f>
        <v>0</v>
      </c>
      <c r="N480" s="7" t="str">
        <f aca="false">K480</f>
        <v>1</v>
      </c>
      <c r="O480" s="7" t="str">
        <f aca="false">IMSUM(IMPRODUCT(K480,O479),IMPRODUCT(L480,Q479))</f>
        <v>-35.8003256978744-298.229384908423i</v>
      </c>
      <c r="P480" s="7" t="str">
        <f aca="false">IMSUM(IMPRODUCT(K480,P479),IMPRODUCT(L480,R479))</f>
        <v>25.5924130978415+55.7286498971528i</v>
      </c>
      <c r="Q480" s="7" t="str">
        <f aca="false">IMSUM(IMPRODUCT(M480,O479),IMPRODUCT(N480,Q479))</f>
        <v>-526.416569837908+306.642574136655i</v>
      </c>
      <c r="R480" s="7" t="str">
        <f aca="false">IMSUM(IMPRODUCT(M480,P479),IMPRODUCT(N480,R479))</f>
        <v>83.1571456409332-92.489189436791i</v>
      </c>
      <c r="S480" s="10" t="n">
        <f aca="false">IF(B480="mass",D480/E480,H480)</f>
        <v>0.04</v>
      </c>
      <c r="T480" s="12" t="n">
        <f aca="false">IF(B480="mass",F480*G480*D480,0)</f>
        <v>0</v>
      </c>
    </row>
    <row r="481" customFormat="false" ht="15" hidden="false" customHeight="false" outlineLevel="0" collapsed="false">
      <c r="A481" s="9" t="s">
        <v>53</v>
      </c>
      <c r="B481" s="13" t="n">
        <f aca="false">IF(OR($W$468="ext",$W$468="ground"),1/SUM(S470:S480),"–")</f>
        <v>0.274695485596559</v>
      </c>
      <c r="C481" s="9" t="s">
        <v>54</v>
      </c>
      <c r="D481" s="13" t="n">
        <f aca="false">IMABS(IMDIV(IMPRODUCT(O480,COMPLEX(-1,0)),P480))</f>
        <v>4.89807654572988</v>
      </c>
      <c r="E481" s="9" t="s">
        <v>55</v>
      </c>
      <c r="F481" s="14" t="n">
        <f aca="false">IMARGUMENT(IMDIV(IMPRODUCT(O480,COMPLEX(-1,0)),P480))*$B$2/(2*PI())</f>
        <v>1.18806216927006</v>
      </c>
      <c r="G481" s="9" t="s">
        <v>56</v>
      </c>
      <c r="H481" s="13" t="n">
        <f aca="false">IF($W$468="ext",IMABS(IMDIV(COMPLEX(-1,0),P480))*SUM(S470:S480),"–")</f>
        <v>0.0593631294054339</v>
      </c>
      <c r="I481" s="9" t="s">
        <v>57</v>
      </c>
      <c r="J481" s="14" t="n">
        <f aca="false">IF($W$468="ext",MOD(-IMARGUMENT(IMDIV(COMPLEX(-1,0),P480))*$B$2/(2*PI()),24),"–")</f>
        <v>16.3555913285752</v>
      </c>
      <c r="K481" s="9" t="s">
        <v>58</v>
      </c>
      <c r="L481" s="15" t="n">
        <f aca="false">($B$2*3600)/(2*PI())*IMABS(IMDIV(IMSUB(O480,COMPLEX(1,0)),P480))/1000</f>
        <v>67.3804809993326</v>
      </c>
      <c r="M481" s="9" t="s">
        <v>59</v>
      </c>
      <c r="N481" s="15" t="n">
        <f aca="false">SUM(T471:T478)/1000</f>
        <v>571.32</v>
      </c>
      <c r="O481" s="9" t="s">
        <v>60</v>
      </c>
      <c r="P481" s="16" t="n">
        <f aca="false">SUM(S471:S478)</f>
        <v>3.47039473684211</v>
      </c>
    </row>
    <row r="483" customFormat="false" ht="15" hidden="false" customHeight="false" outlineLevel="0" collapsed="false">
      <c r="A483" s="4" t="s">
        <v>116</v>
      </c>
    </row>
    <row r="484" customFormat="false" ht="15" hidden="false" customHeight="false" outlineLevel="0" collapsed="false">
      <c r="A484" s="9"/>
      <c r="B484" s="9" t="s">
        <v>62</v>
      </c>
      <c r="C484" s="9" t="s">
        <v>63</v>
      </c>
      <c r="D484" s="9"/>
      <c r="E484" s="9"/>
      <c r="F484" s="9"/>
      <c r="G484" s="9"/>
      <c r="H484" s="9"/>
      <c r="I484" s="9"/>
      <c r="J484" s="9"/>
      <c r="K484" s="9" t="s">
        <v>32</v>
      </c>
      <c r="L484" s="9" t="s">
        <v>33</v>
      </c>
      <c r="M484" s="9" t="s">
        <v>34</v>
      </c>
      <c r="N484" s="9" t="s">
        <v>35</v>
      </c>
      <c r="O484" s="9" t="s">
        <v>36</v>
      </c>
      <c r="P484" s="9" t="s">
        <v>37</v>
      </c>
      <c r="Q484" s="9" t="s">
        <v>38</v>
      </c>
      <c r="R484" s="9" t="s">
        <v>39</v>
      </c>
    </row>
    <row r="485" customFormat="false" ht="15" hidden="false" customHeight="false" outlineLevel="0" collapsed="false">
      <c r="A485" s="7" t="s">
        <v>22</v>
      </c>
      <c r="B485" s="7" t="s">
        <v>42</v>
      </c>
      <c r="C485" s="10" t="n">
        <f aca="false">$Y$468</f>
        <v>0.13</v>
      </c>
      <c r="K485" s="7" t="str">
        <f aca="false">COMPLEX(1,0)</f>
        <v>1</v>
      </c>
      <c r="L485" s="7" t="str">
        <f aca="false">COMPLEX(-C485,0)</f>
        <v>-0.13</v>
      </c>
      <c r="M485" s="7" t="str">
        <f aca="false">COMPLEX(0,0)</f>
        <v>0</v>
      </c>
      <c r="N485" s="7" t="str">
        <f aca="false">COMPLEX(1,0)</f>
        <v>1</v>
      </c>
      <c r="O485" s="7" t="str">
        <f aca="false">K485</f>
        <v>1</v>
      </c>
      <c r="P485" s="7" t="str">
        <f aca="false">L485</f>
        <v>-0.13</v>
      </c>
      <c r="Q485" s="7" t="str">
        <f aca="false">M485</f>
        <v>0</v>
      </c>
      <c r="R485" s="7" t="str">
        <f aca="false">N485</f>
        <v>1</v>
      </c>
    </row>
    <row r="486" customFormat="false" ht="15" hidden="false" customHeight="false" outlineLevel="0" collapsed="false">
      <c r="A486" s="7" t="s">
        <v>64</v>
      </c>
      <c r="B486" s="7" t="s">
        <v>65</v>
      </c>
      <c r="C486" s="10" t="n">
        <f aca="false">INDEX(Classes!$B$5:$F$9,MATCH(Engine!$C$467,Classes!$A$5:$A$9,0),5)*(N481*1000)</f>
        <v>571320</v>
      </c>
      <c r="K486" s="7" t="str">
        <f aca="false">COMPLEX(1,0)</f>
        <v>1</v>
      </c>
      <c r="L486" s="7" t="str">
        <f aca="false">COMPLEX(0,0)</f>
        <v>0</v>
      </c>
      <c r="M486" s="7" t="str">
        <f aca="false">COMPLEX(0,-(2*PI()/($B$2*3600))*C486)</f>
        <v>-41.547562843725i</v>
      </c>
      <c r="N486" s="7" t="str">
        <f aca="false">COMPLEX(1,0)</f>
        <v>1</v>
      </c>
      <c r="O486" s="7" t="str">
        <f aca="false">IMSUM(IMPRODUCT(K486,O485),IMPRODUCT(L486,Q485))</f>
        <v>1</v>
      </c>
      <c r="P486" s="7" t="str">
        <f aca="false">IMSUM(IMPRODUCT(K486,P485),IMPRODUCT(L486,R485))</f>
        <v>-0.13</v>
      </c>
      <c r="Q486" s="7" t="str">
        <f aca="false">IMSUM(IMPRODUCT(M486,O485),IMPRODUCT(N486,Q485))</f>
        <v>-41.547562843725i</v>
      </c>
      <c r="R486" s="7" t="str">
        <f aca="false">IMSUM(IMPRODUCT(M486,P485),IMPRODUCT(N486,R485))</f>
        <v>1+5.40118316968425i</v>
      </c>
    </row>
    <row r="487" customFormat="false" ht="15" hidden="false" customHeight="false" outlineLevel="0" collapsed="false">
      <c r="A487" s="7" t="s">
        <v>66</v>
      </c>
      <c r="B487" s="7" t="s">
        <v>42</v>
      </c>
      <c r="C487" s="10" t="n">
        <f aca="false">P481/6</f>
        <v>0.578399122807018</v>
      </c>
      <c r="K487" s="7" t="str">
        <f aca="false">COMPLEX(1,0)</f>
        <v>1</v>
      </c>
      <c r="L487" s="7" t="str">
        <f aca="false">COMPLEX(-C487,0)</f>
        <v>-0.578399122807018</v>
      </c>
      <c r="M487" s="7" t="str">
        <f aca="false">COMPLEX(0,0)</f>
        <v>0</v>
      </c>
      <c r="N487" s="7" t="str">
        <f aca="false">COMPLEX(1,0)</f>
        <v>1</v>
      </c>
      <c r="O487" s="7" t="str">
        <f aca="false">IMSUM(IMPRODUCT(K487,O486),IMPRODUCT(L487,Q486))</f>
        <v>1+24.03107390358i</v>
      </c>
      <c r="P487" s="7" t="str">
        <f aca="false">IMSUM(IMPRODUCT(K487,P486),IMPRODUCT(L487,R486))</f>
        <v>-0.708399122807018-3.1240396074654i</v>
      </c>
      <c r="Q487" s="7" t="str">
        <f aca="false">IMSUM(IMPRODUCT(M487,O486),IMPRODUCT(N487,Q486))</f>
        <v>-41.547562843725i</v>
      </c>
      <c r="R487" s="7" t="str">
        <f aca="false">IMSUM(IMPRODUCT(M487,P486),IMPRODUCT(N487,R486))</f>
        <v>1+5.40118316968425i</v>
      </c>
    </row>
    <row r="488" customFormat="false" ht="15" hidden="false" customHeight="false" outlineLevel="0" collapsed="false">
      <c r="A488" s="7" t="s">
        <v>67</v>
      </c>
      <c r="B488" s="7" t="s">
        <v>65</v>
      </c>
      <c r="C488" s="10" t="n">
        <f aca="false">INDEX(Classes!$B$5:$F$9,MATCH(Engine!$C$467,Classes!$A$5:$A$9,0),4)*(N481*1000)</f>
        <v>0</v>
      </c>
      <c r="K488" s="7" t="str">
        <f aca="false">COMPLEX(1,0)</f>
        <v>1</v>
      </c>
      <c r="L488" s="7" t="str">
        <f aca="false">COMPLEX(0,0)</f>
        <v>0</v>
      </c>
      <c r="M488" s="7" t="str">
        <f aca="false">COMPLEX(0,-(2*PI()/($B$2*3600))*C488)</f>
        <v>0</v>
      </c>
      <c r="N488" s="7" t="str">
        <f aca="false">COMPLEX(1,0)</f>
        <v>1</v>
      </c>
      <c r="O488" s="7" t="str">
        <f aca="false">IMSUM(IMPRODUCT(K488,O487),IMPRODUCT(L488,Q487))</f>
        <v>1+24.03107390358i</v>
      </c>
      <c r="P488" s="7" t="str">
        <f aca="false">IMSUM(IMPRODUCT(K488,P487),IMPRODUCT(L488,R487))</f>
        <v>-0.708399122807018-3.1240396074654i</v>
      </c>
      <c r="Q488" s="7" t="str">
        <f aca="false">IMSUM(IMPRODUCT(M488,O487),IMPRODUCT(N488,Q487))</f>
        <v>-41.547562843725i</v>
      </c>
      <c r="R488" s="7" t="str">
        <f aca="false">IMSUM(IMPRODUCT(M488,P487),IMPRODUCT(N488,R487))</f>
        <v>1+5.40118316968425i</v>
      </c>
    </row>
    <row r="489" customFormat="false" ht="15" hidden="false" customHeight="false" outlineLevel="0" collapsed="false">
      <c r="A489" s="7" t="s">
        <v>68</v>
      </c>
      <c r="B489" s="7" t="s">
        <v>42</v>
      </c>
      <c r="C489" s="10" t="n">
        <f aca="false">P481/3</f>
        <v>1.15679824561404</v>
      </c>
      <c r="K489" s="7" t="str">
        <f aca="false">COMPLEX(1,0)</f>
        <v>1</v>
      </c>
      <c r="L489" s="7" t="str">
        <f aca="false">COMPLEX(-C489,0)</f>
        <v>-1.15679824561404</v>
      </c>
      <c r="M489" s="7" t="str">
        <f aca="false">COMPLEX(0,0)</f>
        <v>0</v>
      </c>
      <c r="N489" s="7" t="str">
        <f aca="false">COMPLEX(1,0)</f>
        <v>1</v>
      </c>
      <c r="O489" s="7" t="str">
        <f aca="false">IMSUM(IMPRODUCT(K489,O488),IMPRODUCT(L489,Q488))</f>
        <v>1+72.0932217107402i</v>
      </c>
      <c r="P489" s="7" t="str">
        <f aca="false">IMSUM(IMPRODUCT(K489,P488),IMPRODUCT(L489,R488))</f>
        <v>-1.86519736842106-9.37211882239622i</v>
      </c>
      <c r="Q489" s="7" t="str">
        <f aca="false">IMSUM(IMPRODUCT(M489,O488),IMPRODUCT(N489,Q488))</f>
        <v>-41.547562843725i</v>
      </c>
      <c r="R489" s="7" t="str">
        <f aca="false">IMSUM(IMPRODUCT(M489,P488),IMPRODUCT(N489,R488))</f>
        <v>1+5.40118316968425i</v>
      </c>
    </row>
    <row r="490" customFormat="false" ht="15" hidden="false" customHeight="false" outlineLevel="0" collapsed="false">
      <c r="A490" s="7" t="s">
        <v>69</v>
      </c>
      <c r="B490" s="7" t="s">
        <v>65</v>
      </c>
      <c r="C490" s="10" t="n">
        <f aca="false">INDEX(Classes!$B$5:$F$9,MATCH(Engine!$C$467,Classes!$A$5:$A$9,0),3)*(N481*1000)</f>
        <v>0</v>
      </c>
      <c r="K490" s="7" t="str">
        <f aca="false">COMPLEX(1,0)</f>
        <v>1</v>
      </c>
      <c r="L490" s="7" t="str">
        <f aca="false">COMPLEX(0,0)</f>
        <v>0</v>
      </c>
      <c r="M490" s="7" t="str">
        <f aca="false">COMPLEX(0,-(2*PI()/($B$2*3600))*C490)</f>
        <v>0</v>
      </c>
      <c r="N490" s="7" t="str">
        <f aca="false">COMPLEX(1,0)</f>
        <v>1</v>
      </c>
      <c r="O490" s="7" t="str">
        <f aca="false">IMSUM(IMPRODUCT(K490,O489),IMPRODUCT(L490,Q489))</f>
        <v>1+72.0932217107402i</v>
      </c>
      <c r="P490" s="7" t="str">
        <f aca="false">IMSUM(IMPRODUCT(K490,P489),IMPRODUCT(L490,R489))</f>
        <v>-1.86519736842106-9.37211882239622i</v>
      </c>
      <c r="Q490" s="7" t="str">
        <f aca="false">IMSUM(IMPRODUCT(M490,O489),IMPRODUCT(N490,Q489))</f>
        <v>-41.547562843725i</v>
      </c>
      <c r="R490" s="7" t="str">
        <f aca="false">IMSUM(IMPRODUCT(M490,P489),IMPRODUCT(N490,R489))</f>
        <v>1+5.40118316968425i</v>
      </c>
    </row>
    <row r="491" customFormat="false" ht="15" hidden="false" customHeight="false" outlineLevel="0" collapsed="false">
      <c r="A491" s="7" t="s">
        <v>68</v>
      </c>
      <c r="B491" s="7" t="s">
        <v>42</v>
      </c>
      <c r="C491" s="10" t="n">
        <f aca="false">P481/3</f>
        <v>1.15679824561404</v>
      </c>
      <c r="K491" s="7" t="str">
        <f aca="false">COMPLEX(1,0)</f>
        <v>1</v>
      </c>
      <c r="L491" s="7" t="str">
        <f aca="false">COMPLEX(-C491,0)</f>
        <v>-1.15679824561404</v>
      </c>
      <c r="M491" s="7" t="str">
        <f aca="false">COMPLEX(0,0)</f>
        <v>0</v>
      </c>
      <c r="N491" s="7" t="str">
        <f aca="false">COMPLEX(1,0)</f>
        <v>1</v>
      </c>
      <c r="O491" s="7" t="str">
        <f aca="false">IMSUM(IMPRODUCT(K491,O490),IMPRODUCT(L491,Q490))</f>
        <v>1+120.1553695179i</v>
      </c>
      <c r="P491" s="7" t="str">
        <f aca="false">IMSUM(IMPRODUCT(K491,P490),IMPRODUCT(L491,R490))</f>
        <v>-3.0219956140351-15.620198037327i</v>
      </c>
      <c r="Q491" s="7" t="str">
        <f aca="false">IMSUM(IMPRODUCT(M491,O490),IMPRODUCT(N491,Q490))</f>
        <v>-41.547562843725i</v>
      </c>
      <c r="R491" s="7" t="str">
        <f aca="false">IMSUM(IMPRODUCT(M491,P490),IMPRODUCT(N491,R490))</f>
        <v>1+5.40118316968425i</v>
      </c>
    </row>
    <row r="492" customFormat="false" ht="15" hidden="false" customHeight="false" outlineLevel="0" collapsed="false">
      <c r="A492" s="7" t="s">
        <v>70</v>
      </c>
      <c r="B492" s="7" t="s">
        <v>65</v>
      </c>
      <c r="C492" s="10" t="n">
        <f aca="false">INDEX(Classes!$B$5:$F$9,MATCH(Engine!$C$467,Classes!$A$5:$A$9,0),2)*(N481*1000)</f>
        <v>0</v>
      </c>
      <c r="K492" s="7" t="str">
        <f aca="false">COMPLEX(1,0)</f>
        <v>1</v>
      </c>
      <c r="L492" s="7" t="str">
        <f aca="false">COMPLEX(0,0)</f>
        <v>0</v>
      </c>
      <c r="M492" s="7" t="str">
        <f aca="false">COMPLEX(0,-(2*PI()/($B$2*3600))*C492)</f>
        <v>0</v>
      </c>
      <c r="N492" s="7" t="str">
        <f aca="false">COMPLEX(1,0)</f>
        <v>1</v>
      </c>
      <c r="O492" s="7" t="str">
        <f aca="false">IMSUM(IMPRODUCT(K492,O491),IMPRODUCT(L492,Q491))</f>
        <v>1+120.1553695179i</v>
      </c>
      <c r="P492" s="7" t="str">
        <f aca="false">IMSUM(IMPRODUCT(K492,P491),IMPRODUCT(L492,R491))</f>
        <v>-3.0219956140351-15.620198037327i</v>
      </c>
      <c r="Q492" s="7" t="str">
        <f aca="false">IMSUM(IMPRODUCT(M492,O491),IMPRODUCT(N492,Q491))</f>
        <v>-41.547562843725i</v>
      </c>
      <c r="R492" s="7" t="str">
        <f aca="false">IMSUM(IMPRODUCT(M492,P491),IMPRODUCT(N492,R491))</f>
        <v>1+5.40118316968425i</v>
      </c>
    </row>
    <row r="493" customFormat="false" ht="15" hidden="false" customHeight="false" outlineLevel="0" collapsed="false">
      <c r="A493" s="7" t="s">
        <v>66</v>
      </c>
      <c r="B493" s="7" t="s">
        <v>42</v>
      </c>
      <c r="C493" s="10" t="n">
        <f aca="false">P481/6</f>
        <v>0.578399122807018</v>
      </c>
      <c r="K493" s="7" t="str">
        <f aca="false">COMPLEX(1,0)</f>
        <v>1</v>
      </c>
      <c r="L493" s="7" t="str">
        <f aca="false">COMPLEX(-C493,0)</f>
        <v>-0.578399122807018</v>
      </c>
      <c r="M493" s="7" t="str">
        <f aca="false">COMPLEX(0,0)</f>
        <v>0</v>
      </c>
      <c r="N493" s="7" t="str">
        <f aca="false">COMPLEX(1,0)</f>
        <v>1</v>
      </c>
      <c r="O493" s="7" t="str">
        <f aca="false">IMSUM(IMPRODUCT(K493,O492),IMPRODUCT(L493,Q492))</f>
        <v>1+144.18644342148i</v>
      </c>
      <c r="P493" s="7" t="str">
        <f aca="false">IMSUM(IMPRODUCT(K493,P492),IMPRODUCT(L493,R492))</f>
        <v>-3.60039473684212-18.7442376447924i</v>
      </c>
      <c r="Q493" s="7" t="str">
        <f aca="false">IMSUM(IMPRODUCT(M493,O492),IMPRODUCT(N493,Q492))</f>
        <v>-41.547562843725i</v>
      </c>
      <c r="R493" s="7" t="str">
        <f aca="false">IMSUM(IMPRODUCT(M493,P492),IMPRODUCT(N493,R492))</f>
        <v>1+5.40118316968425i</v>
      </c>
    </row>
    <row r="494" customFormat="false" ht="15" hidden="false" customHeight="false" outlineLevel="0" collapsed="false">
      <c r="A494" s="7" t="s">
        <v>71</v>
      </c>
      <c r="B494" s="7" t="s">
        <v>65</v>
      </c>
      <c r="C494" s="10" t="n">
        <f aca="false">INDEX(Classes!$B$5:$F$9,MATCH(Engine!$C$467,Classes!$A$5:$A$9,0),1)*(N481*1000)</f>
        <v>0</v>
      </c>
      <c r="K494" s="7" t="str">
        <f aca="false">COMPLEX(1,0)</f>
        <v>1</v>
      </c>
      <c r="L494" s="7" t="str">
        <f aca="false">COMPLEX(0,0)</f>
        <v>0</v>
      </c>
      <c r="M494" s="7" t="str">
        <f aca="false">COMPLEX(0,-(2*PI()/($B$2*3600))*C494)</f>
        <v>0</v>
      </c>
      <c r="N494" s="7" t="str">
        <f aca="false">COMPLEX(1,0)</f>
        <v>1</v>
      </c>
      <c r="O494" s="7" t="str">
        <f aca="false">IMSUM(IMPRODUCT(K494,O493),IMPRODUCT(L494,Q493))</f>
        <v>1+144.18644342148i</v>
      </c>
      <c r="P494" s="7" t="str">
        <f aca="false">IMSUM(IMPRODUCT(K494,P493),IMPRODUCT(L494,R493))</f>
        <v>-3.60039473684212-18.7442376447924i</v>
      </c>
      <c r="Q494" s="7" t="str">
        <f aca="false">IMSUM(IMPRODUCT(M494,O493),IMPRODUCT(N494,Q493))</f>
        <v>-41.547562843725i</v>
      </c>
      <c r="R494" s="7" t="str">
        <f aca="false">IMSUM(IMPRODUCT(M494,P493),IMPRODUCT(N494,R493))</f>
        <v>1+5.40118316968425i</v>
      </c>
    </row>
    <row r="495" customFormat="false" ht="15" hidden="false" customHeight="false" outlineLevel="0" collapsed="false">
      <c r="A495" s="7" t="s">
        <v>72</v>
      </c>
      <c r="B495" s="7" t="s">
        <v>73</v>
      </c>
      <c r="K495" s="7" t="str">
        <f aca="false">K479</f>
        <v>1</v>
      </c>
      <c r="L495" s="7" t="str">
        <f aca="false">L479</f>
        <v>-0</v>
      </c>
      <c r="M495" s="7" t="str">
        <f aca="false">M479</f>
        <v>0</v>
      </c>
      <c r="N495" s="7" t="str">
        <f aca="false">N479</f>
        <v>1</v>
      </c>
      <c r="O495" s="7" t="str">
        <f aca="false">IMSUM(IMPRODUCT(K495,O494),IMPRODUCT(L495,Q494))</f>
        <v>1+144.18644342148i</v>
      </c>
      <c r="P495" s="7" t="str">
        <f aca="false">IMSUM(IMPRODUCT(K495,P494),IMPRODUCT(L495,R494))</f>
        <v>-3.60039473684212-18.7442376447924i</v>
      </c>
      <c r="Q495" s="7" t="str">
        <f aca="false">IMSUM(IMPRODUCT(M495,O494),IMPRODUCT(N495,Q494))</f>
        <v>-41.547562843725i</v>
      </c>
      <c r="R495" s="7" t="str">
        <f aca="false">IMSUM(IMPRODUCT(M495,P494),IMPRODUCT(N495,R494))</f>
        <v>1+5.40118316968425i</v>
      </c>
    </row>
    <row r="496" customFormat="false" ht="15" hidden="false" customHeight="false" outlineLevel="0" collapsed="false">
      <c r="A496" s="7" t="s">
        <v>52</v>
      </c>
      <c r="B496" s="7" t="s">
        <v>73</v>
      </c>
      <c r="K496" s="7" t="str">
        <f aca="false">K480</f>
        <v>1</v>
      </c>
      <c r="L496" s="7" t="str">
        <f aca="false">L480</f>
        <v>-0.04</v>
      </c>
      <c r="M496" s="7" t="str">
        <f aca="false">M480</f>
        <v>0</v>
      </c>
      <c r="N496" s="7" t="str">
        <f aca="false">N480</f>
        <v>1</v>
      </c>
      <c r="O496" s="7" t="str">
        <f aca="false">IMSUM(IMPRODUCT(K496,O495),IMPRODUCT(L496,Q495))</f>
        <v>1+145.848345935229i</v>
      </c>
      <c r="P496" s="7" t="str">
        <f aca="false">IMSUM(IMPRODUCT(K496,P495),IMPRODUCT(L496,R495))</f>
        <v>-3.64039473684212-18.9602849715798i</v>
      </c>
      <c r="Q496" s="7" t="str">
        <f aca="false">IMSUM(IMPRODUCT(M496,O495),IMPRODUCT(N496,Q495))</f>
        <v>-41.547562843725i</v>
      </c>
      <c r="R496" s="7" t="str">
        <f aca="false">IMSUM(IMPRODUCT(M496,P495),IMPRODUCT(N496,R495))</f>
        <v>1+5.40118316968425i</v>
      </c>
    </row>
    <row r="497" customFormat="false" ht="15" hidden="false" customHeight="false" outlineLevel="0" collapsed="false">
      <c r="A497" s="9" t="s">
        <v>74</v>
      </c>
      <c r="B497" s="13" t="n">
        <f aca="false">IMABS(IMDIV(IMPRODUCT(O496,COMPLEX(-1,0)),P496))</f>
        <v>7.55450256128926</v>
      </c>
    </row>
    <row r="500" customFormat="false" ht="15" hidden="false" customHeight="false" outlineLevel="0" collapsed="false">
      <c r="A500" s="4" t="s">
        <v>117</v>
      </c>
      <c r="B500" s="9" t="s">
        <v>18</v>
      </c>
      <c r="C500" s="7" t="str">
        <f aca="false">INDEX(Library!$F$5:$F$34,MATCH(A500,Library!$A$5:$A$34,0))</f>
        <v>IE</v>
      </c>
    </row>
    <row r="501" customFormat="false" ht="15" hidden="false" customHeight="false" outlineLevel="0" collapsed="false">
      <c r="A501" s="4" t="s">
        <v>118</v>
      </c>
      <c r="T501" s="9" t="s">
        <v>20</v>
      </c>
      <c r="U501" s="7" t="n">
        <f aca="false">MATCH($A$500,Library!$A$5:$A$34,0)</f>
        <v>16</v>
      </c>
      <c r="V501" s="9" t="s">
        <v>21</v>
      </c>
      <c r="W501" s="7" t="str">
        <f aca="false">INDEX(Library!$D$5:$D$34,$U$501)</f>
        <v>ground</v>
      </c>
      <c r="X501" s="9" t="s">
        <v>22</v>
      </c>
      <c r="Y501" s="7" t="n">
        <f aca="false">INDEX(Library!$E$5:$E$34,$U$501)</f>
        <v>0.17</v>
      </c>
    </row>
    <row r="502" customFormat="false" ht="15" hidden="false" customHeight="false" outlineLevel="0" collapsed="false">
      <c r="A502" s="9"/>
      <c r="B502" s="9" t="s">
        <v>23</v>
      </c>
      <c r="C502" s="9" t="s">
        <v>24</v>
      </c>
      <c r="D502" s="9" t="s">
        <v>25</v>
      </c>
      <c r="E502" s="9" t="s">
        <v>26</v>
      </c>
      <c r="F502" s="9" t="s">
        <v>27</v>
      </c>
      <c r="G502" s="9" t="s">
        <v>28</v>
      </c>
      <c r="H502" s="9" t="s">
        <v>29</v>
      </c>
      <c r="I502" s="9" t="s">
        <v>30</v>
      </c>
      <c r="J502" s="9" t="s">
        <v>31</v>
      </c>
      <c r="K502" s="9" t="s">
        <v>32</v>
      </c>
      <c r="L502" s="9" t="s">
        <v>33</v>
      </c>
      <c r="M502" s="9" t="s">
        <v>34</v>
      </c>
      <c r="N502" s="9" t="s">
        <v>35</v>
      </c>
      <c r="O502" s="9" t="s">
        <v>36</v>
      </c>
      <c r="P502" s="9" t="s">
        <v>37</v>
      </c>
      <c r="Q502" s="9" t="s">
        <v>38</v>
      </c>
      <c r="R502" s="9" t="s">
        <v>39</v>
      </c>
      <c r="S502" s="9" t="s">
        <v>40</v>
      </c>
      <c r="T502" s="9" t="s">
        <v>41</v>
      </c>
    </row>
    <row r="503" customFormat="false" ht="15" hidden="false" customHeight="false" outlineLevel="0" collapsed="false">
      <c r="A503" s="7" t="s">
        <v>22</v>
      </c>
      <c r="B503" s="7" t="s">
        <v>42</v>
      </c>
      <c r="H503" s="10" t="n">
        <f aca="false">$Y$501</f>
        <v>0.17</v>
      </c>
      <c r="I503" s="11" t="n">
        <f aca="false">IF(B503="mass",SQRT(E503*($B$2*3600)/(PI()*F503*G503)),0)</f>
        <v>0</v>
      </c>
      <c r="J503" s="10" t="n">
        <f aca="false">IF(B503="mass",D503/I503,0)</f>
        <v>0</v>
      </c>
      <c r="K503" s="7" t="str">
        <f aca="false">IF(B503="mass",COMPLEX(COSH(J503)*COS(J503),SINH(J503)*SIN(J503)),COMPLEX(1,0))</f>
        <v>1</v>
      </c>
      <c r="L503" s="7" t="str">
        <f aca="false">IF(B503="mass",COMPLEX(-I503/(2*E503)*(SINH(J503)*COS(J503)+COSH(J503)*SIN(J503)),-I503/(2*E503)*(COSH(J503)*SIN(J503)-SINH(J503)*COS(J503))),COMPLEX(-H503,0))</f>
        <v>-0.17</v>
      </c>
      <c r="M503" s="7" t="str">
        <f aca="false">IF(B503="mass",COMPLEX(-E503/I503*(SINH(J503)*COS(J503)-COSH(J503)*SIN(J503)),-E503/I503*(SINH(J503)*COS(J503)+COSH(J503)*SIN(J503))),COMPLEX(0,0))</f>
        <v>0</v>
      </c>
      <c r="N503" s="7" t="str">
        <f aca="false">K503</f>
        <v>1</v>
      </c>
      <c r="O503" s="7" t="str">
        <f aca="false">K503</f>
        <v>1</v>
      </c>
      <c r="P503" s="7" t="str">
        <f aca="false">L503</f>
        <v>-0.17</v>
      </c>
      <c r="Q503" s="7" t="str">
        <f aca="false">M503</f>
        <v>0</v>
      </c>
      <c r="R503" s="7" t="str">
        <f aca="false">N503</f>
        <v>1</v>
      </c>
      <c r="S503" s="10" t="n">
        <f aca="false">IF(B503="mass",D503/E503,H503)</f>
        <v>0.17</v>
      </c>
      <c r="T503" s="12" t="n">
        <f aca="false">IF(B503="mass",F503*G503*D503,0)</f>
        <v>0</v>
      </c>
    </row>
    <row r="504" customFormat="false" ht="15" hidden="false" customHeight="false" outlineLevel="0" collapsed="false">
      <c r="A504" s="7" t="s">
        <v>43</v>
      </c>
      <c r="B504" s="7" t="str">
        <f aca="false">IF(C504="","none",IF(C504="Cavity","res","mass"))</f>
        <v>mass</v>
      </c>
      <c r="C504" s="7" t="str">
        <f aca="false">IF(INDEX(Library!$G$5:$G$34,$U$501)="","",INDEX(Library!$G$5:$G$34,$U$501))</f>
        <v>screed</v>
      </c>
      <c r="D504" s="11" t="n">
        <f aca="false">IF(B504="mass",INDEX(Library!$H$5:$H$34,$U$501)/1000,0)</f>
        <v>0.065</v>
      </c>
      <c r="E504" s="7" t="n">
        <f aca="false">IF(B504="mass",INDEX(Materials!$B$5:$B$28,MATCH(C504,Materials!$A$5:$A$28,0)),0)</f>
        <v>1.15</v>
      </c>
      <c r="F504" s="7" t="n">
        <f aca="false">IF(B504="mass",INDEX(Materials!$C$5:$C$28,MATCH(C504,Materials!$A$5:$A$28,0)),0)</f>
        <v>2000</v>
      </c>
      <c r="G504" s="7" t="n">
        <f aca="false">IF(B504="mass",INDEX(Materials!$D$5:$D$28,MATCH(C504,Materials!$A$5:$A$28,0)),0)</f>
        <v>1000</v>
      </c>
      <c r="H504" s="10" t="n">
        <f aca="false">IF(B504="res",INDEX(Library!$H$5:$H$34,$U$501),0)</f>
        <v>0</v>
      </c>
      <c r="I504" s="11" t="n">
        <f aca="false">IF(B504="mass",SQRT(E504*($B$2*3600)/(PI()*F504*G504)),0)</f>
        <v>0.125752276900304</v>
      </c>
      <c r="J504" s="10" t="n">
        <f aca="false">IF(B504="mass",D504/I504,0)</f>
        <v>0.516889249262117</v>
      </c>
      <c r="K504" s="7" t="str">
        <f aca="false">IF(B504="mass",COMPLEX(COSH(J504)*COS(J504),SINH(J504)*SIN(J504)),COMPLEX(1,0))</f>
        <v>0.988104986724448+0.266962602381701i</v>
      </c>
      <c r="L504" s="7" t="str">
        <f aca="false">IF(B504="mass",COMPLEX(-I504/(2*E504)*(SINH(J504)*COS(J504)+COSH(J504)*SIN(J504)),-I504/(2*E504)*(COSH(J504)*SIN(J504)-SINH(J504)*COS(J504))),COMPLEX(-H504,0))</f>
        <v>-0.0563872636045092-0.00503201141092752i</v>
      </c>
      <c r="M504" s="7" t="str">
        <f aca="false">IF(B504="mass",COMPLEX(-E504/I504*(SINH(J504)*COS(J504)-COSH(J504)*SIN(J504)),-E504/I504*(SINH(J504)*COS(J504)+COSH(J504)*SIN(J504))),COMPLEX(0,0))</f>
        <v>0.841657851553351-9.43137430834957i</v>
      </c>
      <c r="N504" s="7" t="str">
        <f aca="false">K504</f>
        <v>0.988104986724448+0.266962602381701i</v>
      </c>
      <c r="O504" s="7" t="str">
        <f aca="false">IMSUM(IMPRODUCT(K504,O503),IMPRODUCT(L504,Q503))</f>
        <v>0.988104986724448+0.266962602381701i</v>
      </c>
      <c r="P504" s="7" t="str">
        <f aca="false">IMSUM(IMPRODUCT(K504,P503),IMPRODUCT(L504,R503))</f>
        <v>-0.224365111347665-0.0504156538158167i</v>
      </c>
      <c r="Q504" s="7" t="str">
        <f aca="false">IMSUM(IMPRODUCT(M504,O503),IMPRODUCT(N504,Q503))</f>
        <v>0.841657851553351-9.43137430834957i</v>
      </c>
      <c r="R504" s="7" t="str">
        <f aca="false">IMSUM(IMPRODUCT(M504,P503),IMPRODUCT(N504,R503))</f>
        <v>0.845023151960378+1.87029623480113i</v>
      </c>
      <c r="S504" s="10" t="n">
        <f aca="false">IF(B504="mass",D504/E504,H504)</f>
        <v>0.0565217391304348</v>
      </c>
      <c r="T504" s="12" t="n">
        <f aca="false">IF(B504="mass",F504*G504*D504,0)</f>
        <v>130000</v>
      </c>
    </row>
    <row r="505" customFormat="false" ht="15" hidden="false" customHeight="false" outlineLevel="0" collapsed="false">
      <c r="A505" s="7" t="s">
        <v>44</v>
      </c>
      <c r="B505" s="7" t="str">
        <f aca="false">IF(C505="","none",IF(C505="Cavity","res","mass"))</f>
        <v>mass</v>
      </c>
      <c r="C505" s="7" t="str">
        <f aca="false">IF(INDEX(Library!$I$5:$I$34,$U$501)="","",INDEX(Library!$I$5:$I$34,$U$501))</f>
        <v>PIR</v>
      </c>
      <c r="D505" s="11" t="n">
        <f aca="false">IF(B505="mass",INDEX(Library!$J$5:$J$34,$U$501)/1000,0)</f>
        <v>0.1</v>
      </c>
      <c r="E505" s="7" t="n">
        <f aca="false">IF(B505="mass",INDEX(Materials!$B$5:$B$28,MATCH(C505,Materials!$A$5:$A$28,0)),0)</f>
        <v>0.022</v>
      </c>
      <c r="F505" s="7" t="n">
        <f aca="false">IF(B505="mass",INDEX(Materials!$C$5:$C$28,MATCH(C505,Materials!$A$5:$A$28,0)),0)</f>
        <v>30</v>
      </c>
      <c r="G505" s="7" t="n">
        <f aca="false">IF(B505="mass",INDEX(Materials!$D$5:$D$28,MATCH(C505,Materials!$A$5:$A$28,0)),0)</f>
        <v>1400</v>
      </c>
      <c r="H505" s="10" t="n">
        <f aca="false">IF(B505="res",INDEX(Library!$J$5:$J$34,$U$501),0)</f>
        <v>0</v>
      </c>
      <c r="I505" s="11" t="n">
        <f aca="false">IF(B505="mass",SQRT(E505*($B$2*3600)/(PI()*F505*G505)),0)</f>
        <v>0.120024147536488</v>
      </c>
      <c r="J505" s="10" t="n">
        <f aca="false">IF(B505="mass",D505/I505,0)</f>
        <v>0.833165675845348</v>
      </c>
      <c r="K505" s="7" t="str">
        <f aca="false">IF(B505="mass",COMPLEX(COSH(J505)*COS(J505),SINH(J505)*SIN(J505)),COMPLEX(1,0))</f>
        <v>0.91978127427238+0.690449865605354i</v>
      </c>
      <c r="L505" s="7" t="str">
        <f aca="false">IF(B505="mass",COMPLEX(-I505/(2*E505)*(SINH(J505)*COS(J505)+COSH(J505)*SIN(J505)),-I505/(2*E505)*(COSH(J505)*SIN(J505)-SINH(J505)*COS(J505))),COMPLEX(-H505,0))</f>
        <v>-4.47249121104719-1.0493524285852i</v>
      </c>
      <c r="M505" s="7" t="str">
        <f aca="false">IF(B505="mass",COMPLEX(-E505/I505*(SINH(J505)*COS(J505)-COSH(J505)*SIN(J505)),-E505/I505*(SINH(J505)*COS(J505)+COSH(J505)*SIN(J505))),COMPLEX(0,0))</f>
        <v>0.0705114213365498-0.300529834987236i</v>
      </c>
      <c r="N505" s="7" t="str">
        <f aca="false">K505</f>
        <v>0.91978127427238+0.690449865605354i</v>
      </c>
      <c r="O505" s="7" t="str">
        <f aca="false">IMSUM(IMPRODUCT(K505,O504),IMPRODUCT(L505,Q504))</f>
        <v>-12.9366267082757+42.226327149514i</v>
      </c>
      <c r="P505" s="7" t="str">
        <f aca="false">IMSUM(IMPRODUCT(K505,P504),IMPRODUCT(L505,R504))</f>
        <v>-1.98831607072794-9.45289480420956i</v>
      </c>
      <c r="Q505" s="7" t="str">
        <f aca="false">IMSUM(IMPRODUCT(M505,O504),IMPRODUCT(N505,Q504))</f>
        <v>7.43593516876206-8.37181004505558i</v>
      </c>
      <c r="R505" s="7" t="str">
        <f aca="false">IMSUM(IMPRODUCT(M505,P504),IMPRODUCT(N505,R504))</f>
        <v>-0.545081023482359+2.36758310629871i</v>
      </c>
      <c r="S505" s="10" t="n">
        <f aca="false">IF(B505="mass",D505/E505,H505)</f>
        <v>4.54545454545455</v>
      </c>
      <c r="T505" s="12" t="n">
        <f aca="false">IF(B505="mass",F505*G505*D505,0)</f>
        <v>4200</v>
      </c>
    </row>
    <row r="506" customFormat="false" ht="15" hidden="false" customHeight="false" outlineLevel="0" collapsed="false">
      <c r="A506" s="7" t="s">
        <v>45</v>
      </c>
      <c r="B506" s="7" t="str">
        <f aca="false">IF(C506="","none",IF(C506="Cavity","res","mass"))</f>
        <v>mass</v>
      </c>
      <c r="C506" s="7" t="str">
        <f aca="false">IF(INDEX(Library!$K$5:$K$34,$U$501)="","",INDEX(Library!$K$5:$K$34,$U$501))</f>
        <v>dense concrete</v>
      </c>
      <c r="D506" s="11" t="n">
        <f aca="false">IF(B506="mass",INDEX(Library!$L$5:$L$34,$U$501)/1000,0)</f>
        <v>0.1</v>
      </c>
      <c r="E506" s="7" t="n">
        <f aca="false">IF(B506="mass",INDEX(Materials!$B$5:$B$28,MATCH(C506,Materials!$A$5:$A$28,0)),0)</f>
        <v>2</v>
      </c>
      <c r="F506" s="7" t="n">
        <f aca="false">IF(B506="mass",INDEX(Materials!$C$5:$C$28,MATCH(C506,Materials!$A$5:$A$28,0)),0)</f>
        <v>2400</v>
      </c>
      <c r="G506" s="7" t="n">
        <f aca="false">IF(B506="mass",INDEX(Materials!$D$5:$D$28,MATCH(C506,Materials!$A$5:$A$28,0)),0)</f>
        <v>1000</v>
      </c>
      <c r="H506" s="10" t="n">
        <f aca="false">IF(B506="res",INDEX(Library!$L$5:$L$34,$U$501),0)</f>
        <v>0</v>
      </c>
      <c r="I506" s="11" t="n">
        <f aca="false">IF(B506="mass",SQRT(E506*($B$2*3600)/(PI()*F506*G506)),0)</f>
        <v>0.15138795132121</v>
      </c>
      <c r="J506" s="10" t="n">
        <f aca="false">IF(B506="mass",D506/I506,0)</f>
        <v>0.660554549601002</v>
      </c>
      <c r="K506" s="7" t="str">
        <f aca="false">IF(B506="mass",COMPLEX(COSH(J506)*COS(J506),SINH(J506)*SIN(J506)),COMPLEX(1,0))</f>
        <v>0.96828340149548+0.435409435633066i</v>
      </c>
      <c r="L506" s="7" t="str">
        <f aca="false">IF(B506="mass",COMPLEX(-I506/(2*E506)*(SINH(J506)*COS(J506)+COSH(J506)*SIN(J506)),-I506/(2*E506)*(COSH(J506)*SIN(J506)-SINH(J506)*COS(J506))),COMPLEX(-H506,0))</f>
        <v>-0.0496827700933164-0.00726561287322371i</v>
      </c>
      <c r="M506" s="7" t="str">
        <f aca="false">IF(B506="mass",COMPLEX(-E506/I506*(SINH(J506)*COS(J506)-COSH(J506)*SIN(J506)),-E506/I506*(SINH(J506)*COS(J506)+COSH(J506)*SIN(J506))),COMPLEX(0,0))</f>
        <v>2.53617733626078-17.3425583927948i</v>
      </c>
      <c r="N506" s="7" t="str">
        <f aca="false">K506</f>
        <v>0.96828340149548+0.435409435633066i</v>
      </c>
      <c r="O506" s="7" t="str">
        <f aca="false">IMSUM(IMPRODUCT(K506,O505),IMPRODUCT(L506,Q505))</f>
        <v>-31.3423263742475+35.6162304383932i</v>
      </c>
      <c r="P506" s="7" t="str">
        <f aca="false">IMSUM(IMPRODUCT(K506,P505),IMPRODUCT(L506,R505))</f>
        <v>2.2349092210545-10.1324804526607i</v>
      </c>
      <c r="Q506" s="7" t="str">
        <f aca="false">IMSUM(IMPRODUCT(M506,O505),IMPRODUCT(N506,Q505))</f>
        <v>710.348222523962+326.579049632325i</v>
      </c>
      <c r="R506" s="7" t="str">
        <f aca="false">IMSUM(IMPRODUCT(M506,P505),IMPRODUCT(N506,R505))</f>
        <v>-170.53876321049+12.5634279981194i</v>
      </c>
      <c r="S506" s="10" t="n">
        <f aca="false">IF(B506="mass",D506/E506,H506)</f>
        <v>0.05</v>
      </c>
      <c r="T506" s="12" t="n">
        <f aca="false">IF(B506="mass",F506*G506*D506,0)</f>
        <v>240000</v>
      </c>
    </row>
    <row r="507" customFormat="false" ht="15" hidden="false" customHeight="false" outlineLevel="0" collapsed="false">
      <c r="A507" s="7" t="s">
        <v>46</v>
      </c>
      <c r="B507" s="7" t="str">
        <f aca="false">IF(C507="","none",IF(C507="Cavity","res","mass"))</f>
        <v>none</v>
      </c>
      <c r="C507" s="7" t="str">
        <f aca="false">IF(INDEX(Library!$M$5:$M$34,$U$501)="","",INDEX(Library!$M$5:$M$34,$U$501))</f>
        <v/>
      </c>
      <c r="D507" s="11" t="n">
        <f aca="false">IF(B507="mass",INDEX(Library!$N$5:$N$34,$U$501)/1000,0)</f>
        <v>0</v>
      </c>
      <c r="E507" s="7" t="n">
        <f aca="false">IF(B507="mass",INDEX(Materials!$B$5:$B$28,MATCH(C507,Materials!$A$5:$A$28,0)),0)</f>
        <v>0</v>
      </c>
      <c r="F507" s="7" t="n">
        <f aca="false">IF(B507="mass",INDEX(Materials!$C$5:$C$28,MATCH(C507,Materials!$A$5:$A$28,0)),0)</f>
        <v>0</v>
      </c>
      <c r="G507" s="7" t="n">
        <f aca="false">IF(B507="mass",INDEX(Materials!$D$5:$D$28,MATCH(C507,Materials!$A$5:$A$28,0)),0)</f>
        <v>0</v>
      </c>
      <c r="H507" s="10" t="n">
        <f aca="false">IF(B507="res",INDEX(Library!$N$5:$N$34,$U$501),0)</f>
        <v>0</v>
      </c>
      <c r="I507" s="11" t="n">
        <f aca="false">IF(B507="mass",SQRT(E507*($B$2*3600)/(PI()*F507*G507)),0)</f>
        <v>0</v>
      </c>
      <c r="J507" s="10" t="n">
        <f aca="false">IF(B507="mass",D507/I507,0)</f>
        <v>0</v>
      </c>
      <c r="K507" s="7" t="str">
        <f aca="false">IF(B507="mass",COMPLEX(COSH(J507)*COS(J507),SINH(J507)*SIN(J507)),COMPLEX(1,0))</f>
        <v>1</v>
      </c>
      <c r="L507" s="7" t="str">
        <f aca="false">IF(B507="mass",COMPLEX(-I507/(2*E507)*(SINH(J507)*COS(J507)+COSH(J507)*SIN(J507)),-I507/(2*E507)*(COSH(J507)*SIN(J507)-SINH(J507)*COS(J507))),COMPLEX(-H507,0))</f>
        <v>-0</v>
      </c>
      <c r="M507" s="7" t="str">
        <f aca="false">IF(B507="mass",COMPLEX(-E507/I507*(SINH(J507)*COS(J507)-COSH(J507)*SIN(J507)),-E507/I507*(SINH(J507)*COS(J507)+COSH(J507)*SIN(J507))),COMPLEX(0,0))</f>
        <v>0</v>
      </c>
      <c r="N507" s="7" t="str">
        <f aca="false">K507</f>
        <v>1</v>
      </c>
      <c r="O507" s="7" t="str">
        <f aca="false">IMSUM(IMPRODUCT(K507,O506),IMPRODUCT(L507,Q506))</f>
        <v>-31.3423263742475+35.6162304383932i</v>
      </c>
      <c r="P507" s="7" t="str">
        <f aca="false">IMSUM(IMPRODUCT(K507,P506),IMPRODUCT(L507,R506))</f>
        <v>2.2349092210545-10.1324804526607i</v>
      </c>
      <c r="Q507" s="7" t="str">
        <f aca="false">IMSUM(IMPRODUCT(M507,O506),IMPRODUCT(N507,Q506))</f>
        <v>710.348222523962+326.579049632325i</v>
      </c>
      <c r="R507" s="7" t="str">
        <f aca="false">IMSUM(IMPRODUCT(M507,P506),IMPRODUCT(N507,R506))</f>
        <v>-170.53876321049+12.5634279981194i</v>
      </c>
      <c r="S507" s="10" t="n">
        <f aca="false">IF(B507="mass",D507/E507,H507)</f>
        <v>0</v>
      </c>
      <c r="T507" s="12" t="n">
        <f aca="false">IF(B507="mass",F507*G507*D507,0)</f>
        <v>0</v>
      </c>
    </row>
    <row r="508" customFormat="false" ht="15" hidden="false" customHeight="false" outlineLevel="0" collapsed="false">
      <c r="A508" s="7" t="s">
        <v>47</v>
      </c>
      <c r="B508" s="7" t="str">
        <f aca="false">IF(C508="","none",IF(C508="Cavity","res","mass"))</f>
        <v>none</v>
      </c>
      <c r="C508" s="7" t="str">
        <f aca="false">IF(INDEX(Library!$O$5:$O$34,$U$501)="","",INDEX(Library!$O$5:$O$34,$U$501))</f>
        <v/>
      </c>
      <c r="D508" s="11" t="n">
        <f aca="false">IF(B508="mass",INDEX(Library!$P$5:$P$34,$U$501)/1000,0)</f>
        <v>0</v>
      </c>
      <c r="E508" s="7" t="n">
        <f aca="false">IF(B508="mass",INDEX(Materials!$B$5:$B$28,MATCH(C508,Materials!$A$5:$A$28,0)),0)</f>
        <v>0</v>
      </c>
      <c r="F508" s="7" t="n">
        <f aca="false">IF(B508="mass",INDEX(Materials!$C$5:$C$28,MATCH(C508,Materials!$A$5:$A$28,0)),0)</f>
        <v>0</v>
      </c>
      <c r="G508" s="7" t="n">
        <f aca="false">IF(B508="mass",INDEX(Materials!$D$5:$D$28,MATCH(C508,Materials!$A$5:$A$28,0)),0)</f>
        <v>0</v>
      </c>
      <c r="H508" s="10" t="n">
        <f aca="false">IF(B508="res",INDEX(Library!$P$5:$P$34,$U$501),0)</f>
        <v>0</v>
      </c>
      <c r="I508" s="11" t="n">
        <f aca="false">IF(B508="mass",SQRT(E508*($B$2*3600)/(PI()*F508*G508)),0)</f>
        <v>0</v>
      </c>
      <c r="J508" s="10" t="n">
        <f aca="false">IF(B508="mass",D508/I508,0)</f>
        <v>0</v>
      </c>
      <c r="K508" s="7" t="str">
        <f aca="false">IF(B508="mass",COMPLEX(COSH(J508)*COS(J508),SINH(J508)*SIN(J508)),COMPLEX(1,0))</f>
        <v>1</v>
      </c>
      <c r="L508" s="7" t="str">
        <f aca="false">IF(B508="mass",COMPLEX(-I508/(2*E508)*(SINH(J508)*COS(J508)+COSH(J508)*SIN(J508)),-I508/(2*E508)*(COSH(J508)*SIN(J508)-SINH(J508)*COS(J508))),COMPLEX(-H508,0))</f>
        <v>-0</v>
      </c>
      <c r="M508" s="7" t="str">
        <f aca="false">IF(B508="mass",COMPLEX(-E508/I508*(SINH(J508)*COS(J508)-COSH(J508)*SIN(J508)),-E508/I508*(SINH(J508)*COS(J508)+COSH(J508)*SIN(J508))),COMPLEX(0,0))</f>
        <v>0</v>
      </c>
      <c r="N508" s="7" t="str">
        <f aca="false">K508</f>
        <v>1</v>
      </c>
      <c r="O508" s="7" t="str">
        <f aca="false">IMSUM(IMPRODUCT(K508,O507),IMPRODUCT(L508,Q507))</f>
        <v>-31.3423263742475+35.6162304383932i</v>
      </c>
      <c r="P508" s="7" t="str">
        <f aca="false">IMSUM(IMPRODUCT(K508,P507),IMPRODUCT(L508,R507))</f>
        <v>2.2349092210545-10.1324804526607i</v>
      </c>
      <c r="Q508" s="7" t="str">
        <f aca="false">IMSUM(IMPRODUCT(M508,O507),IMPRODUCT(N508,Q507))</f>
        <v>710.348222523962+326.579049632325i</v>
      </c>
      <c r="R508" s="7" t="str">
        <f aca="false">IMSUM(IMPRODUCT(M508,P507),IMPRODUCT(N508,R507))</f>
        <v>-170.53876321049+12.5634279981194i</v>
      </c>
      <c r="S508" s="10" t="n">
        <f aca="false">IF(B508="mass",D508/E508,H508)</f>
        <v>0</v>
      </c>
      <c r="T508" s="12" t="n">
        <f aca="false">IF(B508="mass",F508*G508*D508,0)</f>
        <v>0</v>
      </c>
    </row>
    <row r="509" customFormat="false" ht="15" hidden="false" customHeight="false" outlineLevel="0" collapsed="false">
      <c r="A509" s="7" t="s">
        <v>48</v>
      </c>
      <c r="B509" s="7" t="str">
        <f aca="false">IF(C509="","none",IF(C509="Cavity","res","mass"))</f>
        <v>none</v>
      </c>
      <c r="C509" s="7" t="str">
        <f aca="false">IF(INDEX(Library!$Q$5:$Q$34,$U$501)="","",INDEX(Library!$Q$5:$Q$34,$U$501))</f>
        <v/>
      </c>
      <c r="D509" s="11" t="n">
        <f aca="false">IF(B509="mass",INDEX(Library!$R$5:$R$34,$U$501)/1000,0)</f>
        <v>0</v>
      </c>
      <c r="E509" s="7" t="n">
        <f aca="false">IF(B509="mass",INDEX(Materials!$B$5:$B$28,MATCH(C509,Materials!$A$5:$A$28,0)),0)</f>
        <v>0</v>
      </c>
      <c r="F509" s="7" t="n">
        <f aca="false">IF(B509="mass",INDEX(Materials!$C$5:$C$28,MATCH(C509,Materials!$A$5:$A$28,0)),0)</f>
        <v>0</v>
      </c>
      <c r="G509" s="7" t="n">
        <f aca="false">IF(B509="mass",INDEX(Materials!$D$5:$D$28,MATCH(C509,Materials!$A$5:$A$28,0)),0)</f>
        <v>0</v>
      </c>
      <c r="H509" s="10" t="n">
        <f aca="false">IF(B509="res",INDEX(Library!$R$5:$R$34,$U$501),0)</f>
        <v>0</v>
      </c>
      <c r="I509" s="11" t="n">
        <f aca="false">IF(B509="mass",SQRT(E509*($B$2*3600)/(PI()*F509*G509)),0)</f>
        <v>0</v>
      </c>
      <c r="J509" s="10" t="n">
        <f aca="false">IF(B509="mass",D509/I509,0)</f>
        <v>0</v>
      </c>
      <c r="K509" s="7" t="str">
        <f aca="false">IF(B509="mass",COMPLEX(COSH(J509)*COS(J509),SINH(J509)*SIN(J509)),COMPLEX(1,0))</f>
        <v>1</v>
      </c>
      <c r="L509" s="7" t="str">
        <f aca="false">IF(B509="mass",COMPLEX(-I509/(2*E509)*(SINH(J509)*COS(J509)+COSH(J509)*SIN(J509)),-I509/(2*E509)*(COSH(J509)*SIN(J509)-SINH(J509)*COS(J509))),COMPLEX(-H509,0))</f>
        <v>-0</v>
      </c>
      <c r="M509" s="7" t="str">
        <f aca="false">IF(B509="mass",COMPLEX(-E509/I509*(SINH(J509)*COS(J509)-COSH(J509)*SIN(J509)),-E509/I509*(SINH(J509)*COS(J509)+COSH(J509)*SIN(J509))),COMPLEX(0,0))</f>
        <v>0</v>
      </c>
      <c r="N509" s="7" t="str">
        <f aca="false">K509</f>
        <v>1</v>
      </c>
      <c r="O509" s="7" t="str">
        <f aca="false">IMSUM(IMPRODUCT(K509,O508),IMPRODUCT(L509,Q508))</f>
        <v>-31.3423263742475+35.6162304383932i</v>
      </c>
      <c r="P509" s="7" t="str">
        <f aca="false">IMSUM(IMPRODUCT(K509,P508),IMPRODUCT(L509,R508))</f>
        <v>2.2349092210545-10.1324804526607i</v>
      </c>
      <c r="Q509" s="7" t="str">
        <f aca="false">IMSUM(IMPRODUCT(M509,O508),IMPRODUCT(N509,Q508))</f>
        <v>710.348222523962+326.579049632325i</v>
      </c>
      <c r="R509" s="7" t="str">
        <f aca="false">IMSUM(IMPRODUCT(M509,P508),IMPRODUCT(N509,R508))</f>
        <v>-170.53876321049+12.5634279981194i</v>
      </c>
      <c r="S509" s="10" t="n">
        <f aca="false">IF(B509="mass",D509/E509,H509)</f>
        <v>0</v>
      </c>
      <c r="T509" s="12" t="n">
        <f aca="false">IF(B509="mass",F509*G509*D509,0)</f>
        <v>0</v>
      </c>
    </row>
    <row r="510" customFormat="false" ht="15" hidden="false" customHeight="false" outlineLevel="0" collapsed="false">
      <c r="A510" s="7" t="s">
        <v>49</v>
      </c>
      <c r="B510" s="7" t="str">
        <f aca="false">IF(C510="","none",IF(C510="Cavity","res","mass"))</f>
        <v>none</v>
      </c>
      <c r="C510" s="7" t="str">
        <f aca="false">IF(INDEX(Library!$S$5:$S$34,$U$501)="","",INDEX(Library!$S$5:$S$34,$U$501))</f>
        <v/>
      </c>
      <c r="D510" s="11" t="n">
        <f aca="false">IF(B510="mass",INDEX(Library!$T$5:$T$34,$U$501)/1000,0)</f>
        <v>0</v>
      </c>
      <c r="E510" s="7" t="n">
        <f aca="false">IF(B510="mass",INDEX(Materials!$B$5:$B$28,MATCH(C510,Materials!$A$5:$A$28,0)),0)</f>
        <v>0</v>
      </c>
      <c r="F510" s="7" t="n">
        <f aca="false">IF(B510="mass",INDEX(Materials!$C$5:$C$28,MATCH(C510,Materials!$A$5:$A$28,0)),0)</f>
        <v>0</v>
      </c>
      <c r="G510" s="7" t="n">
        <f aca="false">IF(B510="mass",INDEX(Materials!$D$5:$D$28,MATCH(C510,Materials!$A$5:$A$28,0)),0)</f>
        <v>0</v>
      </c>
      <c r="H510" s="10" t="n">
        <f aca="false">IF(B510="res",INDEX(Library!$T$5:$T$34,$U$501),0)</f>
        <v>0</v>
      </c>
      <c r="I510" s="11" t="n">
        <f aca="false">IF(B510="mass",SQRT(E510*($B$2*3600)/(PI()*F510*G510)),0)</f>
        <v>0</v>
      </c>
      <c r="J510" s="10" t="n">
        <f aca="false">IF(B510="mass",D510/I510,0)</f>
        <v>0</v>
      </c>
      <c r="K510" s="7" t="str">
        <f aca="false">IF(B510="mass",COMPLEX(COSH(J510)*COS(J510),SINH(J510)*SIN(J510)),COMPLEX(1,0))</f>
        <v>1</v>
      </c>
      <c r="L510" s="7" t="str">
        <f aca="false">IF(B510="mass",COMPLEX(-I510/(2*E510)*(SINH(J510)*COS(J510)+COSH(J510)*SIN(J510)),-I510/(2*E510)*(COSH(J510)*SIN(J510)-SINH(J510)*COS(J510))),COMPLEX(-H510,0))</f>
        <v>-0</v>
      </c>
      <c r="M510" s="7" t="str">
        <f aca="false">IF(B510="mass",COMPLEX(-E510/I510*(SINH(J510)*COS(J510)-COSH(J510)*SIN(J510)),-E510/I510*(SINH(J510)*COS(J510)+COSH(J510)*SIN(J510))),COMPLEX(0,0))</f>
        <v>0</v>
      </c>
      <c r="N510" s="7" t="str">
        <f aca="false">K510</f>
        <v>1</v>
      </c>
      <c r="O510" s="7" t="str">
        <f aca="false">IMSUM(IMPRODUCT(K510,O509),IMPRODUCT(L510,Q509))</f>
        <v>-31.3423263742475+35.6162304383932i</v>
      </c>
      <c r="P510" s="7" t="str">
        <f aca="false">IMSUM(IMPRODUCT(K510,P509),IMPRODUCT(L510,R509))</f>
        <v>2.2349092210545-10.1324804526607i</v>
      </c>
      <c r="Q510" s="7" t="str">
        <f aca="false">IMSUM(IMPRODUCT(M510,O509),IMPRODUCT(N510,Q509))</f>
        <v>710.348222523962+326.579049632325i</v>
      </c>
      <c r="R510" s="7" t="str">
        <f aca="false">IMSUM(IMPRODUCT(M510,P509),IMPRODUCT(N510,R509))</f>
        <v>-170.53876321049+12.5634279981194i</v>
      </c>
      <c r="S510" s="10" t="n">
        <f aca="false">IF(B510="mass",D510/E510,H510)</f>
        <v>0</v>
      </c>
      <c r="T510" s="12" t="n">
        <f aca="false">IF(B510="mass",F510*G510*D510,0)</f>
        <v>0</v>
      </c>
    </row>
    <row r="511" customFormat="false" ht="15" hidden="false" customHeight="false" outlineLevel="0" collapsed="false">
      <c r="A511" s="7" t="s">
        <v>50</v>
      </c>
      <c r="B511" s="7" t="str">
        <f aca="false">IF(C511="","none",IF(C511="Cavity","res","mass"))</f>
        <v>none</v>
      </c>
      <c r="C511" s="7" t="str">
        <f aca="false">IF(INDEX(Library!$U$5:$U$34,$U$501)="","",INDEX(Library!$U$5:$U$34,$U$501))</f>
        <v/>
      </c>
      <c r="D511" s="11" t="n">
        <f aca="false">IF(B511="mass",INDEX(Library!$V$5:$V$34,$U$501)/1000,0)</f>
        <v>0</v>
      </c>
      <c r="E511" s="7" t="n">
        <f aca="false">IF(B511="mass",INDEX(Materials!$B$5:$B$28,MATCH(C511,Materials!$A$5:$A$28,0)),0)</f>
        <v>0</v>
      </c>
      <c r="F511" s="7" t="n">
        <f aca="false">IF(B511="mass",INDEX(Materials!$C$5:$C$28,MATCH(C511,Materials!$A$5:$A$28,0)),0)</f>
        <v>0</v>
      </c>
      <c r="G511" s="7" t="n">
        <f aca="false">IF(B511="mass",INDEX(Materials!$D$5:$D$28,MATCH(C511,Materials!$A$5:$A$28,0)),0)</f>
        <v>0</v>
      </c>
      <c r="H511" s="10" t="n">
        <f aca="false">IF(B511="res",INDEX(Library!$V$5:$V$34,$U$501),0)</f>
        <v>0</v>
      </c>
      <c r="I511" s="11" t="n">
        <f aca="false">IF(B511="mass",SQRT(E511*($B$2*3600)/(PI()*F511*G511)),0)</f>
        <v>0</v>
      </c>
      <c r="J511" s="10" t="n">
        <f aca="false">IF(B511="mass",D511/I511,0)</f>
        <v>0</v>
      </c>
      <c r="K511" s="7" t="str">
        <f aca="false">IF(B511="mass",COMPLEX(COSH(J511)*COS(J511),SINH(J511)*SIN(J511)),COMPLEX(1,0))</f>
        <v>1</v>
      </c>
      <c r="L511" s="7" t="str">
        <f aca="false">IF(B511="mass",COMPLEX(-I511/(2*E511)*(SINH(J511)*COS(J511)+COSH(J511)*SIN(J511)),-I511/(2*E511)*(COSH(J511)*SIN(J511)-SINH(J511)*COS(J511))),COMPLEX(-H511,0))</f>
        <v>-0</v>
      </c>
      <c r="M511" s="7" t="str">
        <f aca="false">IF(B511="mass",COMPLEX(-E511/I511*(SINH(J511)*COS(J511)-COSH(J511)*SIN(J511)),-E511/I511*(SINH(J511)*COS(J511)+COSH(J511)*SIN(J511))),COMPLEX(0,0))</f>
        <v>0</v>
      </c>
      <c r="N511" s="7" t="str">
        <f aca="false">K511</f>
        <v>1</v>
      </c>
      <c r="O511" s="7" t="str">
        <f aca="false">IMSUM(IMPRODUCT(K511,O510),IMPRODUCT(L511,Q510))</f>
        <v>-31.3423263742475+35.6162304383932i</v>
      </c>
      <c r="P511" s="7" t="str">
        <f aca="false">IMSUM(IMPRODUCT(K511,P510),IMPRODUCT(L511,R510))</f>
        <v>2.2349092210545-10.1324804526607i</v>
      </c>
      <c r="Q511" s="7" t="str">
        <f aca="false">IMSUM(IMPRODUCT(M511,O510),IMPRODUCT(N511,Q510))</f>
        <v>710.348222523962+326.579049632325i</v>
      </c>
      <c r="R511" s="7" t="str">
        <f aca="false">IMSUM(IMPRODUCT(M511,P510),IMPRODUCT(N511,R510))</f>
        <v>-170.53876321049+12.5634279981194i</v>
      </c>
      <c r="S511" s="10" t="n">
        <f aca="false">IF(B511="mass",D511/E511,H511)</f>
        <v>0</v>
      </c>
      <c r="T511" s="12" t="n">
        <f aca="false">IF(B511="mass",F511*G511*D511,0)</f>
        <v>0</v>
      </c>
    </row>
    <row r="512" customFormat="false" ht="15" hidden="false" customHeight="false" outlineLevel="0" collapsed="false">
      <c r="A512" s="7" t="s">
        <v>51</v>
      </c>
      <c r="B512" s="7" t="str">
        <f aca="false">IF($W$501="ground","mass",IF($W$501="adiabatic","res","none"))</f>
        <v>mass</v>
      </c>
      <c r="C512" s="7" t="str">
        <f aca="false">IF($W$501="ground","clay soil","")</f>
        <v>clay soil</v>
      </c>
      <c r="D512" s="11" t="n">
        <f aca="false">IF(B512="mass",1,0)</f>
        <v>1</v>
      </c>
      <c r="E512" s="7" t="n">
        <f aca="false">IF(B512="mass",INDEX(Materials!$B$5:$B$28,MATCH(C512,Materials!$A$5:$A$28,0)),0)</f>
        <v>1.5</v>
      </c>
      <c r="F512" s="7" t="n">
        <f aca="false">IF(B512="mass",INDEX(Materials!$C$5:$C$28,MATCH(C512,Materials!$A$5:$A$28,0)),0)</f>
        <v>1500</v>
      </c>
      <c r="G512" s="7" t="n">
        <f aca="false">IF(B512="mass",INDEX(Materials!$D$5:$D$28,MATCH(C512,Materials!$A$5:$A$28,0)),0)</f>
        <v>2000</v>
      </c>
      <c r="H512" s="12" t="n">
        <f aca="false">IF(B512="res",1000000,0)</f>
        <v>0</v>
      </c>
      <c r="I512" s="11" t="n">
        <f aca="false">IF(B512="mass",SQRT(E512*($B$2*3600)/(PI()*F512*G512)),0)</f>
        <v>0.117264602856701</v>
      </c>
      <c r="J512" s="10" t="n">
        <f aca="false">IF(B512="mass",D512/I512,0)</f>
        <v>8.52772256622074</v>
      </c>
      <c r="K512" s="7" t="str">
        <f aca="false">IF(B512="mass",COMPLEX(COSH(J512)*COS(J512),SINH(J512)*SIN(J512)),COMPLEX(1,0))</f>
        <v>-1576.2950348935+1974.41299212316i</v>
      </c>
      <c r="L512" s="7" t="str">
        <f aca="false">IF(B512="mass",COMPLEX(-I512/(2*E512)*(SINH(J512)*COS(J512)+COSH(J512)*SIN(J512)),-I512/(2*E512)*(COSH(J512)*SIN(J512)-SINH(J512)*COS(J512))),COMPLEX(-H512,0))</f>
        <v>-15.5617255867729-138.790790101731i</v>
      </c>
      <c r="M512" s="7" t="str">
        <f aca="false">IF(B512="mass",COMPLEX(-E512/I512*(SINH(J512)*COS(J512)-COSH(J512)*SIN(J512)),-E512/I512*(SINH(J512)*COS(J512)+COSH(J512)*SIN(J512))),COMPLEX(0,0))</f>
        <v>45419.1798509919-5092.56278964437i</v>
      </c>
      <c r="N512" s="7" t="str">
        <f aca="false">K512</f>
        <v>-1576.2950348935+1974.41299212316i</v>
      </c>
      <c r="O512" s="7" t="str">
        <f aca="false">IMSUM(IMPRODUCT(K512,O511),IMPRODUCT(L512,Q511))</f>
        <v>13355.525556895-221696.308202569i</v>
      </c>
      <c r="P512" s="7" t="str">
        <f aca="false">IMSUM(IMPRODUCT(K512,P511),IMPRODUCT(L512,R511))</f>
        <v>20880.3902728158+43858.1135009704i</v>
      </c>
      <c r="Q512" s="7" t="str">
        <f aca="false">IMSUM(IMPRODUCT(M512,O511),IMPRODUCT(N512,Q511))</f>
        <v>-3006685.16346171+2665008.56597737i</v>
      </c>
      <c r="R512" s="7" t="str">
        <f aca="false">IMSUM(IMPRODUCT(M512,P511),IMPRODUCT(N512,R511))</f>
        <v>293921.461182179-828107.986471515i</v>
      </c>
      <c r="S512" s="10" t="n">
        <f aca="false">IF(B512="mass",D512/E512,H512)</f>
        <v>0.666666666666667</v>
      </c>
      <c r="T512" s="12" t="n">
        <f aca="false">IF(B512="mass",F512*G512*D512,0)</f>
        <v>3000000</v>
      </c>
    </row>
    <row r="513" customFormat="false" ht="15" hidden="false" customHeight="false" outlineLevel="0" collapsed="false">
      <c r="A513" s="7" t="s">
        <v>52</v>
      </c>
      <c r="B513" s="7" t="s">
        <v>42</v>
      </c>
      <c r="H513" s="10" t="n">
        <f aca="false">IF($W$501="ext",0.04,IF($W$501="room",$Y$501,0))</f>
        <v>0</v>
      </c>
      <c r="I513" s="11" t="n">
        <f aca="false">IF(B513="mass",SQRT(E513*($B$2*3600)/(PI()*F513*G513)),0)</f>
        <v>0</v>
      </c>
      <c r="J513" s="10" t="n">
        <f aca="false">IF(B513="mass",D513/I513,0)</f>
        <v>0</v>
      </c>
      <c r="K513" s="7" t="str">
        <f aca="false">IF(B513="mass",COMPLEX(COSH(J513)*COS(J513),SINH(J513)*SIN(J513)),COMPLEX(1,0))</f>
        <v>1</v>
      </c>
      <c r="L513" s="7" t="str">
        <f aca="false">IF(B513="mass",COMPLEX(-I513/(2*E513)*(SINH(J513)*COS(J513)+COSH(J513)*SIN(J513)),-I513/(2*E513)*(COSH(J513)*SIN(J513)-SINH(J513)*COS(J513))),COMPLEX(-H513,0))</f>
        <v>-0</v>
      </c>
      <c r="M513" s="7" t="str">
        <f aca="false">IF(B513="mass",COMPLEX(-E513/I513*(SINH(J513)*COS(J513)-COSH(J513)*SIN(J513)),-E513/I513*(SINH(J513)*COS(J513)+COSH(J513)*SIN(J513))),COMPLEX(0,0))</f>
        <v>0</v>
      </c>
      <c r="N513" s="7" t="str">
        <f aca="false">K513</f>
        <v>1</v>
      </c>
      <c r="O513" s="7" t="str">
        <f aca="false">IMSUM(IMPRODUCT(K513,O512),IMPRODUCT(L513,Q512))</f>
        <v>13355.525556895-221696.308202569i</v>
      </c>
      <c r="P513" s="7" t="str">
        <f aca="false">IMSUM(IMPRODUCT(K513,P512),IMPRODUCT(L513,R512))</f>
        <v>20880.3902728158+43858.1135009704i</v>
      </c>
      <c r="Q513" s="7" t="str">
        <f aca="false">IMSUM(IMPRODUCT(M513,O512),IMPRODUCT(N513,Q512))</f>
        <v>-3006685.16346171+2665008.56597737i</v>
      </c>
      <c r="R513" s="7" t="str">
        <f aca="false">IMSUM(IMPRODUCT(M513,P512),IMPRODUCT(N513,R512))</f>
        <v>293921.461182179-828107.986471515i</v>
      </c>
      <c r="S513" s="10" t="n">
        <f aca="false">IF(B513="mass",D513/E513,H513)</f>
        <v>0</v>
      </c>
      <c r="T513" s="12" t="n">
        <f aca="false">IF(B513="mass",F513*G513*D513,0)</f>
        <v>0</v>
      </c>
    </row>
    <row r="514" customFormat="false" ht="15" hidden="false" customHeight="false" outlineLevel="0" collapsed="false">
      <c r="A514" s="9" t="s">
        <v>53</v>
      </c>
      <c r="B514" s="13" t="n">
        <f aca="false">IF(OR($W$501="ext",$W$501="ground"),1/SUM(S503:S513),"–")</f>
        <v>0.182194398302399</v>
      </c>
      <c r="C514" s="9" t="s">
        <v>54</v>
      </c>
      <c r="D514" s="13" t="n">
        <f aca="false">IMABS(IMDIV(IMPRODUCT(O513,COMPLEX(-1,0)),P513))</f>
        <v>4.57228001810976</v>
      </c>
      <c r="E514" s="9" t="s">
        <v>55</v>
      </c>
      <c r="F514" s="14" t="n">
        <f aca="false">IMARGUMENT(IMDIV(IMPRODUCT(O513,COMPLEX(-1,0)),P513))*$B$2/(2*PI())</f>
        <v>1.92707351885245</v>
      </c>
      <c r="G514" s="9" t="s">
        <v>56</v>
      </c>
      <c r="H514" s="13" t="str">
        <f aca="false">IF($W$501="ext",IMABS(IMDIV(COMPLEX(-1,0),P513))*SUM(S503:S513),"–")</f>
        <v>–</v>
      </c>
      <c r="I514" s="9" t="s">
        <v>57</v>
      </c>
      <c r="J514" s="14" t="str">
        <f aca="false">IF($W$501="ext",MOD(-IMARGUMENT(IMDIV(COMPLEX(-1,0),P513))*$B$2/(2*PI()),24),"–")</f>
        <v>–</v>
      </c>
      <c r="K514" s="9" t="s">
        <v>58</v>
      </c>
      <c r="L514" s="15" t="n">
        <f aca="false">($B$2*3600)/(2*PI())*IMABS(IMDIV(IMSUB(O513,COMPLEX(1,0)),P513))/1000</f>
        <v>62.8733464471059</v>
      </c>
      <c r="M514" s="9" t="s">
        <v>59</v>
      </c>
      <c r="N514" s="15" t="n">
        <f aca="false">SUM(T504:T511)/1000</f>
        <v>374.2</v>
      </c>
      <c r="O514" s="9" t="s">
        <v>60</v>
      </c>
      <c r="P514" s="16" t="n">
        <f aca="false">SUM(S504:S511)</f>
        <v>4.65197628458498</v>
      </c>
    </row>
    <row r="516" customFormat="false" ht="15" hidden="false" customHeight="false" outlineLevel="0" collapsed="false">
      <c r="A516" s="4" t="s">
        <v>119</v>
      </c>
    </row>
    <row r="517" customFormat="false" ht="15" hidden="false" customHeight="false" outlineLevel="0" collapsed="false">
      <c r="A517" s="9"/>
      <c r="B517" s="9" t="s">
        <v>62</v>
      </c>
      <c r="C517" s="9" t="s">
        <v>63</v>
      </c>
      <c r="D517" s="9"/>
      <c r="E517" s="9"/>
      <c r="F517" s="9"/>
      <c r="G517" s="9"/>
      <c r="H517" s="9"/>
      <c r="I517" s="9"/>
      <c r="J517" s="9"/>
      <c r="K517" s="9" t="s">
        <v>32</v>
      </c>
      <c r="L517" s="9" t="s">
        <v>33</v>
      </c>
      <c r="M517" s="9" t="s">
        <v>34</v>
      </c>
      <c r="N517" s="9" t="s">
        <v>35</v>
      </c>
      <c r="O517" s="9" t="s">
        <v>36</v>
      </c>
      <c r="P517" s="9" t="s">
        <v>37</v>
      </c>
      <c r="Q517" s="9" t="s">
        <v>38</v>
      </c>
      <c r="R517" s="9" t="s">
        <v>39</v>
      </c>
    </row>
    <row r="518" customFormat="false" ht="15" hidden="false" customHeight="false" outlineLevel="0" collapsed="false">
      <c r="A518" s="7" t="s">
        <v>22</v>
      </c>
      <c r="B518" s="7" t="s">
        <v>42</v>
      </c>
      <c r="C518" s="10" t="n">
        <f aca="false">$Y$501</f>
        <v>0.17</v>
      </c>
      <c r="K518" s="7" t="str">
        <f aca="false">COMPLEX(1,0)</f>
        <v>1</v>
      </c>
      <c r="L518" s="7" t="str">
        <f aca="false">COMPLEX(-C518,0)</f>
        <v>-0.17</v>
      </c>
      <c r="M518" s="7" t="str">
        <f aca="false">COMPLEX(0,0)</f>
        <v>0</v>
      </c>
      <c r="N518" s="7" t="str">
        <f aca="false">COMPLEX(1,0)</f>
        <v>1</v>
      </c>
      <c r="O518" s="7" t="str">
        <f aca="false">K518</f>
        <v>1</v>
      </c>
      <c r="P518" s="7" t="str">
        <f aca="false">L518</f>
        <v>-0.17</v>
      </c>
      <c r="Q518" s="7" t="str">
        <f aca="false">M518</f>
        <v>0</v>
      </c>
      <c r="R518" s="7" t="str">
        <f aca="false">N518</f>
        <v>1</v>
      </c>
    </row>
    <row r="519" customFormat="false" ht="15" hidden="false" customHeight="false" outlineLevel="0" collapsed="false">
      <c r="A519" s="7" t="s">
        <v>64</v>
      </c>
      <c r="B519" s="7" t="s">
        <v>65</v>
      </c>
      <c r="C519" s="10" t="n">
        <f aca="false">INDEX(Classes!$B$5:$F$9,MATCH(Engine!$C$500,Classes!$A$5:$A$9,0),5)*(N514*1000)</f>
        <v>187100</v>
      </c>
      <c r="K519" s="7" t="str">
        <f aca="false">COMPLEX(1,0)</f>
        <v>1</v>
      </c>
      <c r="L519" s="7" t="str">
        <f aca="false">COMPLEX(0,0)</f>
        <v>0</v>
      </c>
      <c r="M519" s="7" t="str">
        <f aca="false">COMPLEX(0,-(2*PI()/($B$2*3600))*C519)</f>
        <v>-13.6062959603391i</v>
      </c>
      <c r="N519" s="7" t="str">
        <f aca="false">COMPLEX(1,0)</f>
        <v>1</v>
      </c>
      <c r="O519" s="7" t="str">
        <f aca="false">IMSUM(IMPRODUCT(K519,O518),IMPRODUCT(L519,Q518))</f>
        <v>1</v>
      </c>
      <c r="P519" s="7" t="str">
        <f aca="false">IMSUM(IMPRODUCT(K519,P518),IMPRODUCT(L519,R518))</f>
        <v>-0.17</v>
      </c>
      <c r="Q519" s="7" t="str">
        <f aca="false">IMSUM(IMPRODUCT(M519,O518),IMPRODUCT(N519,Q518))</f>
        <v>-13.6062959603391i</v>
      </c>
      <c r="R519" s="7" t="str">
        <f aca="false">IMSUM(IMPRODUCT(M519,P518),IMPRODUCT(N519,R518))</f>
        <v>1+2.31307031325765i</v>
      </c>
    </row>
    <row r="520" customFormat="false" ht="15" hidden="false" customHeight="false" outlineLevel="0" collapsed="false">
      <c r="A520" s="7" t="s">
        <v>66</v>
      </c>
      <c r="B520" s="7" t="s">
        <v>42</v>
      </c>
      <c r="C520" s="10" t="n">
        <f aca="false">P514/6</f>
        <v>0.775329380764164</v>
      </c>
      <c r="K520" s="7" t="str">
        <f aca="false">COMPLEX(1,0)</f>
        <v>1</v>
      </c>
      <c r="L520" s="7" t="str">
        <f aca="false">COMPLEX(-C520,0)</f>
        <v>-0.775329380764163</v>
      </c>
      <c r="M520" s="7" t="str">
        <f aca="false">COMPLEX(0,0)</f>
        <v>0</v>
      </c>
      <c r="N520" s="7" t="str">
        <f aca="false">COMPLEX(1,0)</f>
        <v>1</v>
      </c>
      <c r="O520" s="7" t="str">
        <f aca="false">IMSUM(IMPRODUCT(K520,O519),IMPRODUCT(L520,Q519))</f>
        <v>1+10.5493610214236i</v>
      </c>
      <c r="P520" s="7" t="str">
        <f aca="false">IMSUM(IMPRODUCT(K520,P519),IMPRODUCT(L520,R519))</f>
        <v>-0.945329380764163-1.79339137364202i</v>
      </c>
      <c r="Q520" s="7" t="str">
        <f aca="false">IMSUM(IMPRODUCT(M520,O519),IMPRODUCT(N520,Q519))</f>
        <v>-13.6062959603391i</v>
      </c>
      <c r="R520" s="7" t="str">
        <f aca="false">IMSUM(IMPRODUCT(M520,P519),IMPRODUCT(N520,R519))</f>
        <v>1+2.31307031325765i</v>
      </c>
    </row>
    <row r="521" customFormat="false" ht="15" hidden="false" customHeight="false" outlineLevel="0" collapsed="false">
      <c r="A521" s="7" t="s">
        <v>67</v>
      </c>
      <c r="B521" s="7" t="s">
        <v>65</v>
      </c>
      <c r="C521" s="10" t="n">
        <f aca="false">INDEX(Classes!$B$5:$F$9,MATCH(Engine!$C$500,Classes!$A$5:$A$9,0),4)*(N514*1000)</f>
        <v>0</v>
      </c>
      <c r="K521" s="7" t="str">
        <f aca="false">COMPLEX(1,0)</f>
        <v>1</v>
      </c>
      <c r="L521" s="7" t="str">
        <f aca="false">COMPLEX(0,0)</f>
        <v>0</v>
      </c>
      <c r="M521" s="7" t="str">
        <f aca="false">COMPLEX(0,-(2*PI()/($B$2*3600))*C521)</f>
        <v>0</v>
      </c>
      <c r="N521" s="7" t="str">
        <f aca="false">COMPLEX(1,0)</f>
        <v>1</v>
      </c>
      <c r="O521" s="7" t="str">
        <f aca="false">IMSUM(IMPRODUCT(K521,O520),IMPRODUCT(L521,Q520))</f>
        <v>1+10.5493610214236i</v>
      </c>
      <c r="P521" s="7" t="str">
        <f aca="false">IMSUM(IMPRODUCT(K521,P520),IMPRODUCT(L521,R520))</f>
        <v>-0.945329380764163-1.79339137364202i</v>
      </c>
      <c r="Q521" s="7" t="str">
        <f aca="false">IMSUM(IMPRODUCT(M521,O520),IMPRODUCT(N521,Q520))</f>
        <v>-13.6062959603391i</v>
      </c>
      <c r="R521" s="7" t="str">
        <f aca="false">IMSUM(IMPRODUCT(M521,P520),IMPRODUCT(N521,R520))</f>
        <v>1+2.31307031325765i</v>
      </c>
    </row>
    <row r="522" customFormat="false" ht="15" hidden="false" customHeight="false" outlineLevel="0" collapsed="false">
      <c r="A522" s="7" t="s">
        <v>68</v>
      </c>
      <c r="B522" s="7" t="s">
        <v>42</v>
      </c>
      <c r="C522" s="10" t="n">
        <f aca="false">P514/3</f>
        <v>1.55065876152833</v>
      </c>
      <c r="K522" s="7" t="str">
        <f aca="false">COMPLEX(1,0)</f>
        <v>1</v>
      </c>
      <c r="L522" s="7" t="str">
        <f aca="false">COMPLEX(-C522,0)</f>
        <v>-1.55065876152833</v>
      </c>
      <c r="M522" s="7" t="str">
        <f aca="false">COMPLEX(0,0)</f>
        <v>0</v>
      </c>
      <c r="N522" s="7" t="str">
        <f aca="false">COMPLEX(1,0)</f>
        <v>1</v>
      </c>
      <c r="O522" s="7" t="str">
        <f aca="false">IMSUM(IMPRODUCT(K522,O521),IMPRODUCT(L522,Q521))</f>
        <v>1+31.6480830642709i</v>
      </c>
      <c r="P522" s="7" t="str">
        <f aca="false">IMSUM(IMPRODUCT(K522,P521),IMPRODUCT(L522,R521))</f>
        <v>-2.49598814229249-5.38017412092607i</v>
      </c>
      <c r="Q522" s="7" t="str">
        <f aca="false">IMSUM(IMPRODUCT(M522,O521),IMPRODUCT(N522,Q521))</f>
        <v>-13.6062959603391i</v>
      </c>
      <c r="R522" s="7" t="str">
        <f aca="false">IMSUM(IMPRODUCT(M522,P521),IMPRODUCT(N522,R521))</f>
        <v>1+2.31307031325765i</v>
      </c>
    </row>
    <row r="523" customFormat="false" ht="15" hidden="false" customHeight="false" outlineLevel="0" collapsed="false">
      <c r="A523" s="7" t="s">
        <v>69</v>
      </c>
      <c r="B523" s="7" t="s">
        <v>65</v>
      </c>
      <c r="C523" s="10" t="n">
        <f aca="false">INDEX(Classes!$B$5:$F$9,MATCH(Engine!$C$500,Classes!$A$5:$A$9,0),3)*(N514*1000)</f>
        <v>0</v>
      </c>
      <c r="K523" s="7" t="str">
        <f aca="false">COMPLEX(1,0)</f>
        <v>1</v>
      </c>
      <c r="L523" s="7" t="str">
        <f aca="false">COMPLEX(0,0)</f>
        <v>0</v>
      </c>
      <c r="M523" s="7" t="str">
        <f aca="false">COMPLEX(0,-(2*PI()/($B$2*3600))*C523)</f>
        <v>0</v>
      </c>
      <c r="N523" s="7" t="str">
        <f aca="false">COMPLEX(1,0)</f>
        <v>1</v>
      </c>
      <c r="O523" s="7" t="str">
        <f aca="false">IMSUM(IMPRODUCT(K523,O522),IMPRODUCT(L523,Q522))</f>
        <v>1+31.6480830642709i</v>
      </c>
      <c r="P523" s="7" t="str">
        <f aca="false">IMSUM(IMPRODUCT(K523,P522),IMPRODUCT(L523,R522))</f>
        <v>-2.49598814229249-5.38017412092607i</v>
      </c>
      <c r="Q523" s="7" t="str">
        <f aca="false">IMSUM(IMPRODUCT(M523,O522),IMPRODUCT(N523,Q522))</f>
        <v>-13.6062959603391i</v>
      </c>
      <c r="R523" s="7" t="str">
        <f aca="false">IMSUM(IMPRODUCT(M523,P522),IMPRODUCT(N523,R522))</f>
        <v>1+2.31307031325765i</v>
      </c>
    </row>
    <row r="524" customFormat="false" ht="15" hidden="false" customHeight="false" outlineLevel="0" collapsed="false">
      <c r="A524" s="7" t="s">
        <v>68</v>
      </c>
      <c r="B524" s="7" t="s">
        <v>42</v>
      </c>
      <c r="C524" s="10" t="n">
        <f aca="false">P514/3</f>
        <v>1.55065876152833</v>
      </c>
      <c r="K524" s="7" t="str">
        <f aca="false">COMPLEX(1,0)</f>
        <v>1</v>
      </c>
      <c r="L524" s="7" t="str">
        <f aca="false">COMPLEX(-C524,0)</f>
        <v>-1.55065876152833</v>
      </c>
      <c r="M524" s="7" t="str">
        <f aca="false">COMPLEX(0,0)</f>
        <v>0</v>
      </c>
      <c r="N524" s="7" t="str">
        <f aca="false">COMPLEX(1,0)</f>
        <v>1</v>
      </c>
      <c r="O524" s="7" t="str">
        <f aca="false">IMSUM(IMPRODUCT(K524,O523),IMPRODUCT(L524,Q523))</f>
        <v>1+52.7468051071182i</v>
      </c>
      <c r="P524" s="7" t="str">
        <f aca="false">IMSUM(IMPRODUCT(K524,P523),IMPRODUCT(L524,R523))</f>
        <v>-4.04664690382082-8.96695686821012i</v>
      </c>
      <c r="Q524" s="7" t="str">
        <f aca="false">IMSUM(IMPRODUCT(M524,O523),IMPRODUCT(N524,Q523))</f>
        <v>-13.6062959603391i</v>
      </c>
      <c r="R524" s="7" t="str">
        <f aca="false">IMSUM(IMPRODUCT(M524,P523),IMPRODUCT(N524,R523))</f>
        <v>1+2.31307031325765i</v>
      </c>
    </row>
    <row r="525" customFormat="false" ht="15" hidden="false" customHeight="false" outlineLevel="0" collapsed="false">
      <c r="A525" s="7" t="s">
        <v>70</v>
      </c>
      <c r="B525" s="7" t="s">
        <v>65</v>
      </c>
      <c r="C525" s="10" t="n">
        <f aca="false">INDEX(Classes!$B$5:$F$9,MATCH(Engine!$C$500,Classes!$A$5:$A$9,0),2)*(N514*1000)</f>
        <v>0</v>
      </c>
      <c r="K525" s="7" t="str">
        <f aca="false">COMPLEX(1,0)</f>
        <v>1</v>
      </c>
      <c r="L525" s="7" t="str">
        <f aca="false">COMPLEX(0,0)</f>
        <v>0</v>
      </c>
      <c r="M525" s="7" t="str">
        <f aca="false">COMPLEX(0,-(2*PI()/($B$2*3600))*C525)</f>
        <v>0</v>
      </c>
      <c r="N525" s="7" t="str">
        <f aca="false">COMPLEX(1,0)</f>
        <v>1</v>
      </c>
      <c r="O525" s="7" t="str">
        <f aca="false">IMSUM(IMPRODUCT(K525,O524),IMPRODUCT(L525,Q524))</f>
        <v>1+52.7468051071182i</v>
      </c>
      <c r="P525" s="7" t="str">
        <f aca="false">IMSUM(IMPRODUCT(K525,P524),IMPRODUCT(L525,R524))</f>
        <v>-4.04664690382082-8.96695686821012i</v>
      </c>
      <c r="Q525" s="7" t="str">
        <f aca="false">IMSUM(IMPRODUCT(M525,O524),IMPRODUCT(N525,Q524))</f>
        <v>-13.6062959603391i</v>
      </c>
      <c r="R525" s="7" t="str">
        <f aca="false">IMSUM(IMPRODUCT(M525,P524),IMPRODUCT(N525,R524))</f>
        <v>1+2.31307031325765i</v>
      </c>
    </row>
    <row r="526" customFormat="false" ht="15" hidden="false" customHeight="false" outlineLevel="0" collapsed="false">
      <c r="A526" s="7" t="s">
        <v>66</v>
      </c>
      <c r="B526" s="7" t="s">
        <v>42</v>
      </c>
      <c r="C526" s="10" t="n">
        <f aca="false">P514/6</f>
        <v>0.775329380764164</v>
      </c>
      <c r="K526" s="7" t="str">
        <f aca="false">COMPLEX(1,0)</f>
        <v>1</v>
      </c>
      <c r="L526" s="7" t="str">
        <f aca="false">COMPLEX(-C526,0)</f>
        <v>-0.775329380764163</v>
      </c>
      <c r="M526" s="7" t="str">
        <f aca="false">COMPLEX(0,0)</f>
        <v>0</v>
      </c>
      <c r="N526" s="7" t="str">
        <f aca="false">COMPLEX(1,0)</f>
        <v>1</v>
      </c>
      <c r="O526" s="7" t="str">
        <f aca="false">IMSUM(IMPRODUCT(K526,O525),IMPRODUCT(L526,Q525))</f>
        <v>1+63.2961661285418i</v>
      </c>
      <c r="P526" s="7" t="str">
        <f aca="false">IMSUM(IMPRODUCT(K526,P525),IMPRODUCT(L526,R525))</f>
        <v>-4.82197628458498-10.7603482418521i</v>
      </c>
      <c r="Q526" s="7" t="str">
        <f aca="false">IMSUM(IMPRODUCT(M526,O525),IMPRODUCT(N526,Q525))</f>
        <v>-13.6062959603391i</v>
      </c>
      <c r="R526" s="7" t="str">
        <f aca="false">IMSUM(IMPRODUCT(M526,P525),IMPRODUCT(N526,R525))</f>
        <v>1+2.31307031325765i</v>
      </c>
    </row>
    <row r="527" customFormat="false" ht="15" hidden="false" customHeight="false" outlineLevel="0" collapsed="false">
      <c r="A527" s="7" t="s">
        <v>71</v>
      </c>
      <c r="B527" s="7" t="s">
        <v>65</v>
      </c>
      <c r="C527" s="10" t="n">
        <f aca="false">INDEX(Classes!$B$5:$F$9,MATCH(Engine!$C$500,Classes!$A$5:$A$9,0),1)*(N514*1000)</f>
        <v>187100</v>
      </c>
      <c r="K527" s="7" t="str">
        <f aca="false">COMPLEX(1,0)</f>
        <v>1</v>
      </c>
      <c r="L527" s="7" t="str">
        <f aca="false">COMPLEX(0,0)</f>
        <v>0</v>
      </c>
      <c r="M527" s="7" t="str">
        <f aca="false">COMPLEX(0,-(2*PI()/($B$2*3600))*C527)</f>
        <v>-13.6062959603391i</v>
      </c>
      <c r="N527" s="7" t="str">
        <f aca="false">COMPLEX(1,0)</f>
        <v>1</v>
      </c>
      <c r="O527" s="7" t="str">
        <f aca="false">IMSUM(IMPRODUCT(K527,O526),IMPRODUCT(L527,Q526))</f>
        <v>1+63.2961661285418i</v>
      </c>
      <c r="P527" s="7" t="str">
        <f aca="false">IMSUM(IMPRODUCT(K527,P526),IMPRODUCT(L527,R526))</f>
        <v>-4.82197628458498-10.7603482418521i</v>
      </c>
      <c r="Q527" s="7" t="str">
        <f aca="false">IMSUM(IMPRODUCT(M527,O526),IMPRODUCT(N527,Q526))</f>
        <v>861.226369499731-27.2125919206782i</v>
      </c>
      <c r="R527" s="7" t="str">
        <f aca="false">IMSUM(IMPRODUCT(M527,P526),IMPRODUCT(N527,R526))</f>
        <v>-145.408482814954+67.9223067550572i</v>
      </c>
    </row>
    <row r="528" customFormat="false" ht="15" hidden="false" customHeight="false" outlineLevel="0" collapsed="false">
      <c r="A528" s="7" t="s">
        <v>72</v>
      </c>
      <c r="B528" s="7" t="s">
        <v>73</v>
      </c>
      <c r="K528" s="7" t="str">
        <f aca="false">K512</f>
        <v>-1576.2950348935+1974.41299212316i</v>
      </c>
      <c r="L528" s="7" t="str">
        <f aca="false">L512</f>
        <v>-15.5617255867729-138.790790101731i</v>
      </c>
      <c r="M528" s="7" t="str">
        <f aca="false">M512</f>
        <v>45419.1798509919-5092.56278964437i</v>
      </c>
      <c r="N528" s="7" t="str">
        <f aca="false">N512</f>
        <v>-1576.2950348935+1974.41299212316i</v>
      </c>
      <c r="O528" s="7" t="str">
        <f aca="false">IMSUM(IMPRODUCT(K528,O527),IMPRODUCT(L528,Q527))</f>
        <v>-143728.093354306-216905.83279543i</v>
      </c>
      <c r="P528" s="7" t="str">
        <f aca="false">IMSUM(IMPRODUCT(K528,P527),IMPRODUCT(L528,R527))</f>
        <v>40536.0261718697+26565.2808018007i</v>
      </c>
      <c r="Q528" s="7" t="str">
        <f aca="false">IMSUM(IMPRODUCT(M528,O527),IMPRODUCT(N528,Q527))</f>
        <v>-936059.074919898+4613078.99711134i</v>
      </c>
      <c r="R528" s="7" t="str">
        <f aca="false">IMSUM(IMPRODUCT(M528,P527),IMPRODUCT(N528,R527))</f>
        <v>-178707.972586405-858331.967587832i</v>
      </c>
    </row>
    <row r="529" customFormat="false" ht="15" hidden="false" customHeight="false" outlineLevel="0" collapsed="false">
      <c r="A529" s="7" t="s">
        <v>52</v>
      </c>
      <c r="B529" s="7" t="s">
        <v>73</v>
      </c>
      <c r="K529" s="7" t="str">
        <f aca="false">K513</f>
        <v>1</v>
      </c>
      <c r="L529" s="7" t="str">
        <f aca="false">L513</f>
        <v>-0</v>
      </c>
      <c r="M529" s="7" t="str">
        <f aca="false">M513</f>
        <v>0</v>
      </c>
      <c r="N529" s="7" t="str">
        <f aca="false">N513</f>
        <v>1</v>
      </c>
      <c r="O529" s="7" t="str">
        <f aca="false">IMSUM(IMPRODUCT(K529,O528),IMPRODUCT(L529,Q528))</f>
        <v>-143728.093354306-216905.83279543i</v>
      </c>
      <c r="P529" s="7" t="str">
        <f aca="false">IMSUM(IMPRODUCT(K529,P528),IMPRODUCT(L529,R528))</f>
        <v>40536.0261718697+26565.2808018007i</v>
      </c>
      <c r="Q529" s="7" t="str">
        <f aca="false">IMSUM(IMPRODUCT(M529,O528),IMPRODUCT(N529,Q528))</f>
        <v>-936059.074919898+4613078.99711134i</v>
      </c>
      <c r="R529" s="7" t="str">
        <f aca="false">IMSUM(IMPRODUCT(M529,P528),IMPRODUCT(N529,R528))</f>
        <v>-178707.972586405-858331.967587832i</v>
      </c>
    </row>
    <row r="530" customFormat="false" ht="15" hidden="false" customHeight="false" outlineLevel="0" collapsed="false">
      <c r="A530" s="9" t="s">
        <v>74</v>
      </c>
      <c r="B530" s="13" t="n">
        <f aca="false">IMABS(IMDIV(IMPRODUCT(O529,COMPLEX(-1,0)),P529))</f>
        <v>5.3688655695125</v>
      </c>
    </row>
    <row r="533" customFormat="false" ht="15" hidden="false" customHeight="false" outlineLevel="0" collapsed="false">
      <c r="A533" s="4" t="s">
        <v>120</v>
      </c>
      <c r="B533" s="9" t="s">
        <v>18</v>
      </c>
      <c r="C533" s="7" t="str">
        <f aca="false">INDEX(Library!$F$5:$F$34,MATCH(A533,Library!$A$5:$A$34,0))</f>
        <v>I</v>
      </c>
    </row>
    <row r="534" customFormat="false" ht="15" hidden="false" customHeight="false" outlineLevel="0" collapsed="false">
      <c r="A534" s="4" t="s">
        <v>121</v>
      </c>
      <c r="T534" s="9" t="s">
        <v>20</v>
      </c>
      <c r="U534" s="7" t="n">
        <f aca="false">MATCH($A$533,Library!$A$5:$A$34,0)</f>
        <v>17</v>
      </c>
      <c r="V534" s="9" t="s">
        <v>21</v>
      </c>
      <c r="W534" s="7" t="str">
        <f aca="false">INDEX(Library!$D$5:$D$34,$U$534)</f>
        <v>ext</v>
      </c>
      <c r="X534" s="9" t="s">
        <v>22</v>
      </c>
      <c r="Y534" s="7" t="n">
        <f aca="false">INDEX(Library!$E$5:$E$34,$U$534)</f>
        <v>0.17</v>
      </c>
    </row>
    <row r="535" customFormat="false" ht="15" hidden="false" customHeight="false" outlineLevel="0" collapsed="false">
      <c r="A535" s="9"/>
      <c r="B535" s="9" t="s">
        <v>23</v>
      </c>
      <c r="C535" s="9" t="s">
        <v>24</v>
      </c>
      <c r="D535" s="9" t="s">
        <v>25</v>
      </c>
      <c r="E535" s="9" t="s">
        <v>26</v>
      </c>
      <c r="F535" s="9" t="s">
        <v>27</v>
      </c>
      <c r="G535" s="9" t="s">
        <v>28</v>
      </c>
      <c r="H535" s="9" t="s">
        <v>29</v>
      </c>
      <c r="I535" s="9" t="s">
        <v>30</v>
      </c>
      <c r="J535" s="9" t="s">
        <v>31</v>
      </c>
      <c r="K535" s="9" t="s">
        <v>32</v>
      </c>
      <c r="L535" s="9" t="s">
        <v>33</v>
      </c>
      <c r="M535" s="9" t="s">
        <v>34</v>
      </c>
      <c r="N535" s="9" t="s">
        <v>35</v>
      </c>
      <c r="O535" s="9" t="s">
        <v>36</v>
      </c>
      <c r="P535" s="9" t="s">
        <v>37</v>
      </c>
      <c r="Q535" s="9" t="s">
        <v>38</v>
      </c>
      <c r="R535" s="9" t="s">
        <v>39</v>
      </c>
      <c r="S535" s="9" t="s">
        <v>40</v>
      </c>
      <c r="T535" s="9" t="s">
        <v>41</v>
      </c>
    </row>
    <row r="536" customFormat="false" ht="15" hidden="false" customHeight="false" outlineLevel="0" collapsed="false">
      <c r="A536" s="7" t="s">
        <v>22</v>
      </c>
      <c r="B536" s="7" t="s">
        <v>42</v>
      </c>
      <c r="H536" s="10" t="n">
        <f aca="false">$Y$534</f>
        <v>0.17</v>
      </c>
      <c r="I536" s="11" t="n">
        <f aca="false">IF(B536="mass",SQRT(E536*($B$2*3600)/(PI()*F536*G536)),0)</f>
        <v>0</v>
      </c>
      <c r="J536" s="10" t="n">
        <f aca="false">IF(B536="mass",D536/I536,0)</f>
        <v>0</v>
      </c>
      <c r="K536" s="7" t="str">
        <f aca="false">IF(B536="mass",COMPLEX(COSH(J536)*COS(J536),SINH(J536)*SIN(J536)),COMPLEX(1,0))</f>
        <v>1</v>
      </c>
      <c r="L536" s="7" t="str">
        <f aca="false">IF(B536="mass",COMPLEX(-I536/(2*E536)*(SINH(J536)*COS(J536)+COSH(J536)*SIN(J536)),-I536/(2*E536)*(COSH(J536)*SIN(J536)-SINH(J536)*COS(J536))),COMPLEX(-H536,0))</f>
        <v>-0.17</v>
      </c>
      <c r="M536" s="7" t="str">
        <f aca="false">IF(B536="mass",COMPLEX(-E536/I536*(SINH(J536)*COS(J536)-COSH(J536)*SIN(J536)),-E536/I536*(SINH(J536)*COS(J536)+COSH(J536)*SIN(J536))),COMPLEX(0,0))</f>
        <v>0</v>
      </c>
      <c r="N536" s="7" t="str">
        <f aca="false">K536</f>
        <v>1</v>
      </c>
      <c r="O536" s="7" t="str">
        <f aca="false">K536</f>
        <v>1</v>
      </c>
      <c r="P536" s="7" t="str">
        <f aca="false">L536</f>
        <v>-0.17</v>
      </c>
      <c r="Q536" s="7" t="str">
        <f aca="false">M536</f>
        <v>0</v>
      </c>
      <c r="R536" s="7" t="str">
        <f aca="false">N536</f>
        <v>1</v>
      </c>
      <c r="S536" s="10" t="n">
        <f aca="false">IF(B536="mass",D536/E536,H536)</f>
        <v>0.17</v>
      </c>
      <c r="T536" s="12" t="n">
        <f aca="false">IF(B536="mass",F536*G536*D536,0)</f>
        <v>0</v>
      </c>
    </row>
    <row r="537" customFormat="false" ht="15" hidden="false" customHeight="false" outlineLevel="0" collapsed="false">
      <c r="A537" s="7" t="s">
        <v>43</v>
      </c>
      <c r="B537" s="7" t="str">
        <f aca="false">IF(C537="","none",IF(C537="Cavity","res","mass"))</f>
        <v>mass</v>
      </c>
      <c r="C537" s="7" t="str">
        <f aca="false">IF(INDEX(Library!$G$5:$G$34,$U$534)="","",INDEX(Library!$G$5:$G$34,$U$534))</f>
        <v>chipboard</v>
      </c>
      <c r="D537" s="11" t="n">
        <f aca="false">IF(B537="mass",INDEX(Library!$H$5:$H$34,$U$534)/1000,0)</f>
        <v>0.022</v>
      </c>
      <c r="E537" s="7" t="n">
        <f aca="false">IF(B537="mass",INDEX(Materials!$B$5:$B$28,MATCH(C537,Materials!$A$5:$A$28,0)),0)</f>
        <v>0.14</v>
      </c>
      <c r="F537" s="7" t="n">
        <f aca="false">IF(B537="mass",INDEX(Materials!$C$5:$C$28,MATCH(C537,Materials!$A$5:$A$28,0)),0)</f>
        <v>650</v>
      </c>
      <c r="G537" s="7" t="n">
        <f aca="false">IF(B537="mass",INDEX(Materials!$D$5:$D$28,MATCH(C537,Materials!$A$5:$A$28,0)),0)</f>
        <v>1700</v>
      </c>
      <c r="H537" s="10" t="n">
        <f aca="false">IF(B537="res",INDEX(Library!$H$5:$H$34,$U$534),0)</f>
        <v>0</v>
      </c>
      <c r="I537" s="11" t="n">
        <f aca="false">IF(B537="mass",SQRT(E537*($B$2*3600)/(PI()*F537*G537)),0)</f>
        <v>0.0590289167827278</v>
      </c>
      <c r="J537" s="10" t="n">
        <f aca="false">IF(B537="mass",D537/I537,0)</f>
        <v>0.372698690727751</v>
      </c>
      <c r="K537" s="7" t="str">
        <f aca="false">IF(B537="mass",COMPLEX(COSH(J537)*COS(J537),SINH(J537)*SIN(J537)),COMPLEX(1,0))</f>
        <v>0.996784412982346+0.138874535897584i</v>
      </c>
      <c r="L537" s="7" t="str">
        <f aca="false">IF(B537="mass",COMPLEX(-I537/(2*E537)*(SINH(J537)*COS(J537)+COSH(J537)*SIN(J537)),-I537/(2*E537)*(COSH(J537)*SIN(J537)-SINH(J537)*COS(J537))),COMPLEX(-H537,0))</f>
        <v>-0.157041793773106-0.00727527176750762i</v>
      </c>
      <c r="M537" s="7" t="str">
        <f aca="false">IF(B537="mass",COMPLEX(-E537/I537*(SINH(J537)*COS(J537)-COSH(J537)*SIN(J537)),-E537/I537*(SINH(J537)*COS(J537)+COSH(J537)*SIN(J537))),COMPLEX(0,0))</f>
        <v>0.0818475456073549-1.76673611500131i</v>
      </c>
      <c r="N537" s="7" t="str">
        <f aca="false">K537</f>
        <v>0.996784412982346+0.138874535897584i</v>
      </c>
      <c r="O537" s="7" t="str">
        <f aca="false">IMSUM(IMPRODUCT(K537,O536),IMPRODUCT(L537,Q536))</f>
        <v>0.996784412982346+0.138874535897584i</v>
      </c>
      <c r="P537" s="7" t="str">
        <f aca="false">IMSUM(IMPRODUCT(K537,P536),IMPRODUCT(L537,R536))</f>
        <v>-0.326495143980105-0.0308839428700969i</v>
      </c>
      <c r="Q537" s="7" t="str">
        <f aca="false">IMSUM(IMPRODUCT(M537,O536),IMPRODUCT(N537,Q536))</f>
        <v>0.0818475456073549-1.76673611500131i</v>
      </c>
      <c r="R537" s="7" t="str">
        <f aca="false">IMSUM(IMPRODUCT(M537,P536),IMPRODUCT(N537,R536))</f>
        <v>0.982870330229096+0.439219675447807i</v>
      </c>
      <c r="S537" s="10" t="n">
        <f aca="false">IF(B537="mass",D537/E537,H537)</f>
        <v>0.157142857142857</v>
      </c>
      <c r="T537" s="12" t="n">
        <f aca="false">IF(B537="mass",F537*G537*D537,0)</f>
        <v>24310</v>
      </c>
    </row>
    <row r="538" customFormat="false" ht="15" hidden="false" customHeight="false" outlineLevel="0" collapsed="false">
      <c r="A538" s="7" t="s">
        <v>44</v>
      </c>
      <c r="B538" s="7" t="str">
        <f aca="false">IF(C538="","none",IF(C538="Cavity","res","mass"))</f>
        <v>mass</v>
      </c>
      <c r="C538" s="7" t="str">
        <f aca="false">IF(INDEX(Library!$I$5:$I$34,$U$534)="","",INDEX(Library!$I$5:$I$34,$U$534))</f>
        <v>mineral wool + studs</v>
      </c>
      <c r="D538" s="11" t="n">
        <f aca="false">IF(B538="mass",INDEX(Library!$J$5:$J$34,$U$534)/1000,0)</f>
        <v>0.15</v>
      </c>
      <c r="E538" s="7" t="n">
        <f aca="false">IF(B538="mass",INDEX(Materials!$B$5:$B$28,MATCH(C538,Materials!$A$5:$A$28,0)),0)</f>
        <v>0.04</v>
      </c>
      <c r="F538" s="7" t="n">
        <f aca="false">IF(B538="mass",INDEX(Materials!$C$5:$C$28,MATCH(C538,Materials!$A$5:$A$28,0)),0)</f>
        <v>60</v>
      </c>
      <c r="G538" s="7" t="n">
        <f aca="false">IF(B538="mass",INDEX(Materials!$D$5:$D$28,MATCH(C538,Materials!$A$5:$A$28,0)),0)</f>
        <v>1200</v>
      </c>
      <c r="H538" s="10" t="n">
        <f aca="false">IF(B538="res",INDEX(Library!$J$5:$J$34,$U$534),0)</f>
        <v>0</v>
      </c>
      <c r="I538" s="11" t="n">
        <f aca="false">IF(B538="mass",SQRT(E538*($B$2*3600)/(PI()*F538*G538)),0)</f>
        <v>0.123607744647421</v>
      </c>
      <c r="J538" s="10" t="n">
        <f aca="false">IF(B538="mass",D538/I538,0)</f>
        <v>1.21351619534731</v>
      </c>
      <c r="K538" s="7" t="str">
        <f aca="false">IF(B538="mass",COMPLEX(COSH(J538)*COS(J538),SINH(J538)*SIN(J538)),COMPLEX(1,0))</f>
        <v>0.640429154856028+1.43719873874053i</v>
      </c>
      <c r="L538" s="7" t="str">
        <f aca="false">IF(B538="mass",COMPLEX(-I538/(2*E538)*(SINH(J538)*COS(J538)+COSH(J538)*SIN(J538)),-I538/(2*E538)*(COSH(J538)*SIN(J538)-SINH(J538)*COS(J538))),COMPLEX(-H538,0))</f>
        <v>-3.47970041982203-1.82178854515939i</v>
      </c>
      <c r="M538" s="7" t="str">
        <f aca="false">IF(B538="mass",COMPLEX(-E538/I538*(SINH(J538)*COS(J538)-COSH(J538)*SIN(J538)),-E538/I538*(SINH(J538)*COS(J538)+COSH(J538)*SIN(J538))),COMPLEX(0,0))</f>
        <v>0.381554500657786-0.72878675170708i</v>
      </c>
      <c r="N538" s="7" t="str">
        <f aca="false">K538</f>
        <v>0.640429154856028+1.43719873874053i</v>
      </c>
      <c r="O538" s="7" t="str">
        <f aca="false">IMSUM(IMPRODUCT(K538,O537),IMPRODUCT(L538,Q537))</f>
        <v>-3.06464506409535+7.52012008283827i</v>
      </c>
      <c r="P538" s="7" t="str">
        <f aca="false">IMSUM(IMPRODUCT(K538,P537),IMPRODUCT(L538,R537))</f>
        <v>-2.7846395725729-3.80795218460225i</v>
      </c>
      <c r="Q538" s="7" t="str">
        <f aca="false">IMSUM(IMPRODUCT(M538,O537),IMPRODUCT(N538,Q537))</f>
        <v>3.07310597149816-1.68729319795918i</v>
      </c>
      <c r="R538" s="7" t="str">
        <f aca="false">IMSUM(IMPRODUCT(M538,P537),IMPRODUCT(N538,R537))</f>
        <v>-0.148870648694654+1.92003051252317i</v>
      </c>
      <c r="S538" s="10" t="n">
        <f aca="false">IF(B538="mass",D538/E538,H538)</f>
        <v>3.75</v>
      </c>
      <c r="T538" s="12" t="n">
        <f aca="false">IF(B538="mass",F538*G538*D538,0)</f>
        <v>10800</v>
      </c>
    </row>
    <row r="539" customFormat="false" ht="15" hidden="false" customHeight="false" outlineLevel="0" collapsed="false">
      <c r="A539" s="7" t="s">
        <v>45</v>
      </c>
      <c r="B539" s="7" t="str">
        <f aca="false">IF(C539="","none",IF(C539="Cavity","res","mass"))</f>
        <v>none</v>
      </c>
      <c r="C539" s="7" t="str">
        <f aca="false">IF(INDEX(Library!$K$5:$K$34,$U$534)="","",INDEX(Library!$K$5:$K$34,$U$534))</f>
        <v/>
      </c>
      <c r="D539" s="11" t="n">
        <f aca="false">IF(B539="mass",INDEX(Library!$L$5:$L$34,$U$534)/1000,0)</f>
        <v>0</v>
      </c>
      <c r="E539" s="7" t="n">
        <f aca="false">IF(B539="mass",INDEX(Materials!$B$5:$B$28,MATCH(C539,Materials!$A$5:$A$28,0)),0)</f>
        <v>0</v>
      </c>
      <c r="F539" s="7" t="n">
        <f aca="false">IF(B539="mass",INDEX(Materials!$C$5:$C$28,MATCH(C539,Materials!$A$5:$A$28,0)),0)</f>
        <v>0</v>
      </c>
      <c r="G539" s="7" t="n">
        <f aca="false">IF(B539="mass",INDEX(Materials!$D$5:$D$28,MATCH(C539,Materials!$A$5:$A$28,0)),0)</f>
        <v>0</v>
      </c>
      <c r="H539" s="10" t="n">
        <f aca="false">IF(B539="res",INDEX(Library!$L$5:$L$34,$U$534),0)</f>
        <v>0</v>
      </c>
      <c r="I539" s="11" t="n">
        <f aca="false">IF(B539="mass",SQRT(E539*($B$2*3600)/(PI()*F539*G539)),0)</f>
        <v>0</v>
      </c>
      <c r="J539" s="10" t="n">
        <f aca="false">IF(B539="mass",D539/I539,0)</f>
        <v>0</v>
      </c>
      <c r="K539" s="7" t="str">
        <f aca="false">IF(B539="mass",COMPLEX(COSH(J539)*COS(J539),SINH(J539)*SIN(J539)),COMPLEX(1,0))</f>
        <v>1</v>
      </c>
      <c r="L539" s="7" t="str">
        <f aca="false">IF(B539="mass",COMPLEX(-I539/(2*E539)*(SINH(J539)*COS(J539)+COSH(J539)*SIN(J539)),-I539/(2*E539)*(COSH(J539)*SIN(J539)-SINH(J539)*COS(J539))),COMPLEX(-H539,0))</f>
        <v>-0</v>
      </c>
      <c r="M539" s="7" t="str">
        <f aca="false">IF(B539="mass",COMPLEX(-E539/I539*(SINH(J539)*COS(J539)-COSH(J539)*SIN(J539)),-E539/I539*(SINH(J539)*COS(J539)+COSH(J539)*SIN(J539))),COMPLEX(0,0))</f>
        <v>0</v>
      </c>
      <c r="N539" s="7" t="str">
        <f aca="false">K539</f>
        <v>1</v>
      </c>
      <c r="O539" s="7" t="str">
        <f aca="false">IMSUM(IMPRODUCT(K539,O538),IMPRODUCT(L539,Q538))</f>
        <v>-3.06464506409535+7.52012008283827i</v>
      </c>
      <c r="P539" s="7" t="str">
        <f aca="false">IMSUM(IMPRODUCT(K539,P538),IMPRODUCT(L539,R538))</f>
        <v>-2.7846395725729-3.80795218460225i</v>
      </c>
      <c r="Q539" s="7" t="str">
        <f aca="false">IMSUM(IMPRODUCT(M539,O538),IMPRODUCT(N539,Q538))</f>
        <v>3.07310597149816-1.68729319795918i</v>
      </c>
      <c r="R539" s="7" t="str">
        <f aca="false">IMSUM(IMPRODUCT(M539,P538),IMPRODUCT(N539,R538))</f>
        <v>-0.148870648694654+1.92003051252317i</v>
      </c>
      <c r="S539" s="10" t="n">
        <f aca="false">IF(B539="mass",D539/E539,H539)</f>
        <v>0</v>
      </c>
      <c r="T539" s="12" t="n">
        <f aca="false">IF(B539="mass",F539*G539*D539,0)</f>
        <v>0</v>
      </c>
    </row>
    <row r="540" customFormat="false" ht="15" hidden="false" customHeight="false" outlineLevel="0" collapsed="false">
      <c r="A540" s="7" t="s">
        <v>46</v>
      </c>
      <c r="B540" s="7" t="str">
        <f aca="false">IF(C540="","none",IF(C540="Cavity","res","mass"))</f>
        <v>none</v>
      </c>
      <c r="C540" s="7" t="str">
        <f aca="false">IF(INDEX(Library!$M$5:$M$34,$U$534)="","",INDEX(Library!$M$5:$M$34,$U$534))</f>
        <v/>
      </c>
      <c r="D540" s="11" t="n">
        <f aca="false">IF(B540="mass",INDEX(Library!$N$5:$N$34,$U$534)/1000,0)</f>
        <v>0</v>
      </c>
      <c r="E540" s="7" t="n">
        <f aca="false">IF(B540="mass",INDEX(Materials!$B$5:$B$28,MATCH(C540,Materials!$A$5:$A$28,0)),0)</f>
        <v>0</v>
      </c>
      <c r="F540" s="7" t="n">
        <f aca="false">IF(B540="mass",INDEX(Materials!$C$5:$C$28,MATCH(C540,Materials!$A$5:$A$28,0)),0)</f>
        <v>0</v>
      </c>
      <c r="G540" s="7" t="n">
        <f aca="false">IF(B540="mass",INDEX(Materials!$D$5:$D$28,MATCH(C540,Materials!$A$5:$A$28,0)),0)</f>
        <v>0</v>
      </c>
      <c r="H540" s="10" t="n">
        <f aca="false">IF(B540="res",INDEX(Library!$N$5:$N$34,$U$534),0)</f>
        <v>0</v>
      </c>
      <c r="I540" s="11" t="n">
        <f aca="false">IF(B540="mass",SQRT(E540*($B$2*3600)/(PI()*F540*G540)),0)</f>
        <v>0</v>
      </c>
      <c r="J540" s="10" t="n">
        <f aca="false">IF(B540="mass",D540/I540,0)</f>
        <v>0</v>
      </c>
      <c r="K540" s="7" t="str">
        <f aca="false">IF(B540="mass",COMPLEX(COSH(J540)*COS(J540),SINH(J540)*SIN(J540)),COMPLEX(1,0))</f>
        <v>1</v>
      </c>
      <c r="L540" s="7" t="str">
        <f aca="false">IF(B540="mass",COMPLEX(-I540/(2*E540)*(SINH(J540)*COS(J540)+COSH(J540)*SIN(J540)),-I540/(2*E540)*(COSH(J540)*SIN(J540)-SINH(J540)*COS(J540))),COMPLEX(-H540,0))</f>
        <v>-0</v>
      </c>
      <c r="M540" s="7" t="str">
        <f aca="false">IF(B540="mass",COMPLEX(-E540/I540*(SINH(J540)*COS(J540)-COSH(J540)*SIN(J540)),-E540/I540*(SINH(J540)*COS(J540)+COSH(J540)*SIN(J540))),COMPLEX(0,0))</f>
        <v>0</v>
      </c>
      <c r="N540" s="7" t="str">
        <f aca="false">K540</f>
        <v>1</v>
      </c>
      <c r="O540" s="7" t="str">
        <f aca="false">IMSUM(IMPRODUCT(K540,O539),IMPRODUCT(L540,Q539))</f>
        <v>-3.06464506409535+7.52012008283827i</v>
      </c>
      <c r="P540" s="7" t="str">
        <f aca="false">IMSUM(IMPRODUCT(K540,P539),IMPRODUCT(L540,R539))</f>
        <v>-2.7846395725729-3.80795218460225i</v>
      </c>
      <c r="Q540" s="7" t="str">
        <f aca="false">IMSUM(IMPRODUCT(M540,O539),IMPRODUCT(N540,Q539))</f>
        <v>3.07310597149816-1.68729319795918i</v>
      </c>
      <c r="R540" s="7" t="str">
        <f aca="false">IMSUM(IMPRODUCT(M540,P539),IMPRODUCT(N540,R539))</f>
        <v>-0.148870648694654+1.92003051252317i</v>
      </c>
      <c r="S540" s="10" t="n">
        <f aca="false">IF(B540="mass",D540/E540,H540)</f>
        <v>0</v>
      </c>
      <c r="T540" s="12" t="n">
        <f aca="false">IF(B540="mass",F540*G540*D540,0)</f>
        <v>0</v>
      </c>
    </row>
    <row r="541" customFormat="false" ht="15" hidden="false" customHeight="false" outlineLevel="0" collapsed="false">
      <c r="A541" s="7" t="s">
        <v>47</v>
      </c>
      <c r="B541" s="7" t="str">
        <f aca="false">IF(C541="","none",IF(C541="Cavity","res","mass"))</f>
        <v>none</v>
      </c>
      <c r="C541" s="7" t="str">
        <f aca="false">IF(INDEX(Library!$O$5:$O$34,$U$534)="","",INDEX(Library!$O$5:$O$34,$U$534))</f>
        <v/>
      </c>
      <c r="D541" s="11" t="n">
        <f aca="false">IF(B541="mass",INDEX(Library!$P$5:$P$34,$U$534)/1000,0)</f>
        <v>0</v>
      </c>
      <c r="E541" s="7" t="n">
        <f aca="false">IF(B541="mass",INDEX(Materials!$B$5:$B$28,MATCH(C541,Materials!$A$5:$A$28,0)),0)</f>
        <v>0</v>
      </c>
      <c r="F541" s="7" t="n">
        <f aca="false">IF(B541="mass",INDEX(Materials!$C$5:$C$28,MATCH(C541,Materials!$A$5:$A$28,0)),0)</f>
        <v>0</v>
      </c>
      <c r="G541" s="7" t="n">
        <f aca="false">IF(B541="mass",INDEX(Materials!$D$5:$D$28,MATCH(C541,Materials!$A$5:$A$28,0)),0)</f>
        <v>0</v>
      </c>
      <c r="H541" s="10" t="n">
        <f aca="false">IF(B541="res",INDEX(Library!$P$5:$P$34,$U$534),0)</f>
        <v>0</v>
      </c>
      <c r="I541" s="11" t="n">
        <f aca="false">IF(B541="mass",SQRT(E541*($B$2*3600)/(PI()*F541*G541)),0)</f>
        <v>0</v>
      </c>
      <c r="J541" s="10" t="n">
        <f aca="false">IF(B541="mass",D541/I541,0)</f>
        <v>0</v>
      </c>
      <c r="K541" s="7" t="str">
        <f aca="false">IF(B541="mass",COMPLEX(COSH(J541)*COS(J541),SINH(J541)*SIN(J541)),COMPLEX(1,0))</f>
        <v>1</v>
      </c>
      <c r="L541" s="7" t="str">
        <f aca="false">IF(B541="mass",COMPLEX(-I541/(2*E541)*(SINH(J541)*COS(J541)+COSH(J541)*SIN(J541)),-I541/(2*E541)*(COSH(J541)*SIN(J541)-SINH(J541)*COS(J541))),COMPLEX(-H541,0))</f>
        <v>-0</v>
      </c>
      <c r="M541" s="7" t="str">
        <f aca="false">IF(B541="mass",COMPLEX(-E541/I541*(SINH(J541)*COS(J541)-COSH(J541)*SIN(J541)),-E541/I541*(SINH(J541)*COS(J541)+COSH(J541)*SIN(J541))),COMPLEX(0,0))</f>
        <v>0</v>
      </c>
      <c r="N541" s="7" t="str">
        <f aca="false">K541</f>
        <v>1</v>
      </c>
      <c r="O541" s="7" t="str">
        <f aca="false">IMSUM(IMPRODUCT(K541,O540),IMPRODUCT(L541,Q540))</f>
        <v>-3.06464506409535+7.52012008283827i</v>
      </c>
      <c r="P541" s="7" t="str">
        <f aca="false">IMSUM(IMPRODUCT(K541,P540),IMPRODUCT(L541,R540))</f>
        <v>-2.7846395725729-3.80795218460225i</v>
      </c>
      <c r="Q541" s="7" t="str">
        <f aca="false">IMSUM(IMPRODUCT(M541,O540),IMPRODUCT(N541,Q540))</f>
        <v>3.07310597149816-1.68729319795918i</v>
      </c>
      <c r="R541" s="7" t="str">
        <f aca="false">IMSUM(IMPRODUCT(M541,P540),IMPRODUCT(N541,R540))</f>
        <v>-0.148870648694654+1.92003051252317i</v>
      </c>
      <c r="S541" s="10" t="n">
        <f aca="false">IF(B541="mass",D541/E541,H541)</f>
        <v>0</v>
      </c>
      <c r="T541" s="12" t="n">
        <f aca="false">IF(B541="mass",F541*G541*D541,0)</f>
        <v>0</v>
      </c>
    </row>
    <row r="542" customFormat="false" ht="15" hidden="false" customHeight="false" outlineLevel="0" collapsed="false">
      <c r="A542" s="7" t="s">
        <v>48</v>
      </c>
      <c r="B542" s="7" t="str">
        <f aca="false">IF(C542="","none",IF(C542="Cavity","res","mass"))</f>
        <v>none</v>
      </c>
      <c r="C542" s="7" t="str">
        <f aca="false">IF(INDEX(Library!$Q$5:$Q$34,$U$534)="","",INDEX(Library!$Q$5:$Q$34,$U$534))</f>
        <v/>
      </c>
      <c r="D542" s="11" t="n">
        <f aca="false">IF(B542="mass",INDEX(Library!$R$5:$R$34,$U$534)/1000,0)</f>
        <v>0</v>
      </c>
      <c r="E542" s="7" t="n">
        <f aca="false">IF(B542="mass",INDEX(Materials!$B$5:$B$28,MATCH(C542,Materials!$A$5:$A$28,0)),0)</f>
        <v>0</v>
      </c>
      <c r="F542" s="7" t="n">
        <f aca="false">IF(B542="mass",INDEX(Materials!$C$5:$C$28,MATCH(C542,Materials!$A$5:$A$28,0)),0)</f>
        <v>0</v>
      </c>
      <c r="G542" s="7" t="n">
        <f aca="false">IF(B542="mass",INDEX(Materials!$D$5:$D$28,MATCH(C542,Materials!$A$5:$A$28,0)),0)</f>
        <v>0</v>
      </c>
      <c r="H542" s="10" t="n">
        <f aca="false">IF(B542="res",INDEX(Library!$R$5:$R$34,$U$534),0)</f>
        <v>0</v>
      </c>
      <c r="I542" s="11" t="n">
        <f aca="false">IF(B542="mass",SQRT(E542*($B$2*3600)/(PI()*F542*G542)),0)</f>
        <v>0</v>
      </c>
      <c r="J542" s="10" t="n">
        <f aca="false">IF(B542="mass",D542/I542,0)</f>
        <v>0</v>
      </c>
      <c r="K542" s="7" t="str">
        <f aca="false">IF(B542="mass",COMPLEX(COSH(J542)*COS(J542),SINH(J542)*SIN(J542)),COMPLEX(1,0))</f>
        <v>1</v>
      </c>
      <c r="L542" s="7" t="str">
        <f aca="false">IF(B542="mass",COMPLEX(-I542/(2*E542)*(SINH(J542)*COS(J542)+COSH(J542)*SIN(J542)),-I542/(2*E542)*(COSH(J542)*SIN(J542)-SINH(J542)*COS(J542))),COMPLEX(-H542,0))</f>
        <v>-0</v>
      </c>
      <c r="M542" s="7" t="str">
        <f aca="false">IF(B542="mass",COMPLEX(-E542/I542*(SINH(J542)*COS(J542)-COSH(J542)*SIN(J542)),-E542/I542*(SINH(J542)*COS(J542)+COSH(J542)*SIN(J542))),COMPLEX(0,0))</f>
        <v>0</v>
      </c>
      <c r="N542" s="7" t="str">
        <f aca="false">K542</f>
        <v>1</v>
      </c>
      <c r="O542" s="7" t="str">
        <f aca="false">IMSUM(IMPRODUCT(K542,O541),IMPRODUCT(L542,Q541))</f>
        <v>-3.06464506409535+7.52012008283827i</v>
      </c>
      <c r="P542" s="7" t="str">
        <f aca="false">IMSUM(IMPRODUCT(K542,P541),IMPRODUCT(L542,R541))</f>
        <v>-2.7846395725729-3.80795218460225i</v>
      </c>
      <c r="Q542" s="7" t="str">
        <f aca="false">IMSUM(IMPRODUCT(M542,O541),IMPRODUCT(N542,Q541))</f>
        <v>3.07310597149816-1.68729319795918i</v>
      </c>
      <c r="R542" s="7" t="str">
        <f aca="false">IMSUM(IMPRODUCT(M542,P541),IMPRODUCT(N542,R541))</f>
        <v>-0.148870648694654+1.92003051252317i</v>
      </c>
      <c r="S542" s="10" t="n">
        <f aca="false">IF(B542="mass",D542/E542,H542)</f>
        <v>0</v>
      </c>
      <c r="T542" s="12" t="n">
        <f aca="false">IF(B542="mass",F542*G542*D542,0)</f>
        <v>0</v>
      </c>
    </row>
    <row r="543" customFormat="false" ht="15" hidden="false" customHeight="false" outlineLevel="0" collapsed="false">
      <c r="A543" s="7" t="s">
        <v>49</v>
      </c>
      <c r="B543" s="7" t="str">
        <f aca="false">IF(C543="","none",IF(C543="Cavity","res","mass"))</f>
        <v>none</v>
      </c>
      <c r="C543" s="7" t="str">
        <f aca="false">IF(INDEX(Library!$S$5:$S$34,$U$534)="","",INDEX(Library!$S$5:$S$34,$U$534))</f>
        <v/>
      </c>
      <c r="D543" s="11" t="n">
        <f aca="false">IF(B543="mass",INDEX(Library!$T$5:$T$34,$U$534)/1000,0)</f>
        <v>0</v>
      </c>
      <c r="E543" s="7" t="n">
        <f aca="false">IF(B543="mass",INDEX(Materials!$B$5:$B$28,MATCH(C543,Materials!$A$5:$A$28,0)),0)</f>
        <v>0</v>
      </c>
      <c r="F543" s="7" t="n">
        <f aca="false">IF(B543="mass",INDEX(Materials!$C$5:$C$28,MATCH(C543,Materials!$A$5:$A$28,0)),0)</f>
        <v>0</v>
      </c>
      <c r="G543" s="7" t="n">
        <f aca="false">IF(B543="mass",INDEX(Materials!$D$5:$D$28,MATCH(C543,Materials!$A$5:$A$28,0)),0)</f>
        <v>0</v>
      </c>
      <c r="H543" s="10" t="n">
        <f aca="false">IF(B543="res",INDEX(Library!$T$5:$T$34,$U$534),0)</f>
        <v>0</v>
      </c>
      <c r="I543" s="11" t="n">
        <f aca="false">IF(B543="mass",SQRT(E543*($B$2*3600)/(PI()*F543*G543)),0)</f>
        <v>0</v>
      </c>
      <c r="J543" s="10" t="n">
        <f aca="false">IF(B543="mass",D543/I543,0)</f>
        <v>0</v>
      </c>
      <c r="K543" s="7" t="str">
        <f aca="false">IF(B543="mass",COMPLEX(COSH(J543)*COS(J543),SINH(J543)*SIN(J543)),COMPLEX(1,0))</f>
        <v>1</v>
      </c>
      <c r="L543" s="7" t="str">
        <f aca="false">IF(B543="mass",COMPLEX(-I543/(2*E543)*(SINH(J543)*COS(J543)+COSH(J543)*SIN(J543)),-I543/(2*E543)*(COSH(J543)*SIN(J543)-SINH(J543)*COS(J543))),COMPLEX(-H543,0))</f>
        <v>-0</v>
      </c>
      <c r="M543" s="7" t="str">
        <f aca="false">IF(B543="mass",COMPLEX(-E543/I543*(SINH(J543)*COS(J543)-COSH(J543)*SIN(J543)),-E543/I543*(SINH(J543)*COS(J543)+COSH(J543)*SIN(J543))),COMPLEX(0,0))</f>
        <v>0</v>
      </c>
      <c r="N543" s="7" t="str">
        <f aca="false">K543</f>
        <v>1</v>
      </c>
      <c r="O543" s="7" t="str">
        <f aca="false">IMSUM(IMPRODUCT(K543,O542),IMPRODUCT(L543,Q542))</f>
        <v>-3.06464506409535+7.52012008283827i</v>
      </c>
      <c r="P543" s="7" t="str">
        <f aca="false">IMSUM(IMPRODUCT(K543,P542),IMPRODUCT(L543,R542))</f>
        <v>-2.7846395725729-3.80795218460225i</v>
      </c>
      <c r="Q543" s="7" t="str">
        <f aca="false">IMSUM(IMPRODUCT(M543,O542),IMPRODUCT(N543,Q542))</f>
        <v>3.07310597149816-1.68729319795918i</v>
      </c>
      <c r="R543" s="7" t="str">
        <f aca="false">IMSUM(IMPRODUCT(M543,P542),IMPRODUCT(N543,R542))</f>
        <v>-0.148870648694654+1.92003051252317i</v>
      </c>
      <c r="S543" s="10" t="n">
        <f aca="false">IF(B543="mass",D543/E543,H543)</f>
        <v>0</v>
      </c>
      <c r="T543" s="12" t="n">
        <f aca="false">IF(B543="mass",F543*G543*D543,0)</f>
        <v>0</v>
      </c>
    </row>
    <row r="544" customFormat="false" ht="15" hidden="false" customHeight="false" outlineLevel="0" collapsed="false">
      <c r="A544" s="7" t="s">
        <v>50</v>
      </c>
      <c r="B544" s="7" t="str">
        <f aca="false">IF(C544="","none",IF(C544="Cavity","res","mass"))</f>
        <v>none</v>
      </c>
      <c r="C544" s="7" t="str">
        <f aca="false">IF(INDEX(Library!$U$5:$U$34,$U$534)="","",INDEX(Library!$U$5:$U$34,$U$534))</f>
        <v/>
      </c>
      <c r="D544" s="11" t="n">
        <f aca="false">IF(B544="mass",INDEX(Library!$V$5:$V$34,$U$534)/1000,0)</f>
        <v>0</v>
      </c>
      <c r="E544" s="7" t="n">
        <f aca="false">IF(B544="mass",INDEX(Materials!$B$5:$B$28,MATCH(C544,Materials!$A$5:$A$28,0)),0)</f>
        <v>0</v>
      </c>
      <c r="F544" s="7" t="n">
        <f aca="false">IF(B544="mass",INDEX(Materials!$C$5:$C$28,MATCH(C544,Materials!$A$5:$A$28,0)),0)</f>
        <v>0</v>
      </c>
      <c r="G544" s="7" t="n">
        <f aca="false">IF(B544="mass",INDEX(Materials!$D$5:$D$28,MATCH(C544,Materials!$A$5:$A$28,0)),0)</f>
        <v>0</v>
      </c>
      <c r="H544" s="10" t="n">
        <f aca="false">IF(B544="res",INDEX(Library!$V$5:$V$34,$U$534),0)</f>
        <v>0</v>
      </c>
      <c r="I544" s="11" t="n">
        <f aca="false">IF(B544="mass",SQRT(E544*($B$2*3600)/(PI()*F544*G544)),0)</f>
        <v>0</v>
      </c>
      <c r="J544" s="10" t="n">
        <f aca="false">IF(B544="mass",D544/I544,0)</f>
        <v>0</v>
      </c>
      <c r="K544" s="7" t="str">
        <f aca="false">IF(B544="mass",COMPLEX(COSH(J544)*COS(J544),SINH(J544)*SIN(J544)),COMPLEX(1,0))</f>
        <v>1</v>
      </c>
      <c r="L544" s="7" t="str">
        <f aca="false">IF(B544="mass",COMPLEX(-I544/(2*E544)*(SINH(J544)*COS(J544)+COSH(J544)*SIN(J544)),-I544/(2*E544)*(COSH(J544)*SIN(J544)-SINH(J544)*COS(J544))),COMPLEX(-H544,0))</f>
        <v>-0</v>
      </c>
      <c r="M544" s="7" t="str">
        <f aca="false">IF(B544="mass",COMPLEX(-E544/I544*(SINH(J544)*COS(J544)-COSH(J544)*SIN(J544)),-E544/I544*(SINH(J544)*COS(J544)+COSH(J544)*SIN(J544))),COMPLEX(0,0))</f>
        <v>0</v>
      </c>
      <c r="N544" s="7" t="str">
        <f aca="false">K544</f>
        <v>1</v>
      </c>
      <c r="O544" s="7" t="str">
        <f aca="false">IMSUM(IMPRODUCT(K544,O543),IMPRODUCT(L544,Q543))</f>
        <v>-3.06464506409535+7.52012008283827i</v>
      </c>
      <c r="P544" s="7" t="str">
        <f aca="false">IMSUM(IMPRODUCT(K544,P543),IMPRODUCT(L544,R543))</f>
        <v>-2.7846395725729-3.80795218460225i</v>
      </c>
      <c r="Q544" s="7" t="str">
        <f aca="false">IMSUM(IMPRODUCT(M544,O543),IMPRODUCT(N544,Q543))</f>
        <v>3.07310597149816-1.68729319795918i</v>
      </c>
      <c r="R544" s="7" t="str">
        <f aca="false">IMSUM(IMPRODUCT(M544,P543),IMPRODUCT(N544,R543))</f>
        <v>-0.148870648694654+1.92003051252317i</v>
      </c>
      <c r="S544" s="10" t="n">
        <f aca="false">IF(B544="mass",D544/E544,H544)</f>
        <v>0</v>
      </c>
      <c r="T544" s="12" t="n">
        <f aca="false">IF(B544="mass",F544*G544*D544,0)</f>
        <v>0</v>
      </c>
    </row>
    <row r="545" customFormat="false" ht="15" hidden="false" customHeight="false" outlineLevel="0" collapsed="false">
      <c r="A545" s="7" t="s">
        <v>51</v>
      </c>
      <c r="B545" s="7" t="str">
        <f aca="false">IF($W$534="ground","mass",IF($W$534="adiabatic","res","none"))</f>
        <v>none</v>
      </c>
      <c r="C545" s="7" t="str">
        <f aca="false">IF($W$534="ground","clay soil","")</f>
        <v/>
      </c>
      <c r="D545" s="11" t="n">
        <f aca="false">IF(B545="mass",1,0)</f>
        <v>0</v>
      </c>
      <c r="E545" s="7" t="n">
        <f aca="false">IF(B545="mass",INDEX(Materials!$B$5:$B$28,MATCH(C545,Materials!$A$5:$A$28,0)),0)</f>
        <v>0</v>
      </c>
      <c r="F545" s="7" t="n">
        <f aca="false">IF(B545="mass",INDEX(Materials!$C$5:$C$28,MATCH(C545,Materials!$A$5:$A$28,0)),0)</f>
        <v>0</v>
      </c>
      <c r="G545" s="7" t="n">
        <f aca="false">IF(B545="mass",INDEX(Materials!$D$5:$D$28,MATCH(C545,Materials!$A$5:$A$28,0)),0)</f>
        <v>0</v>
      </c>
      <c r="H545" s="12" t="n">
        <f aca="false">IF(B545="res",1000000,0)</f>
        <v>0</v>
      </c>
      <c r="I545" s="11" t="n">
        <f aca="false">IF(B545="mass",SQRT(E545*($B$2*3600)/(PI()*F545*G545)),0)</f>
        <v>0</v>
      </c>
      <c r="J545" s="10" t="n">
        <f aca="false">IF(B545="mass",D545/I545,0)</f>
        <v>0</v>
      </c>
      <c r="K545" s="7" t="str">
        <f aca="false">IF(B545="mass",COMPLEX(COSH(J545)*COS(J545),SINH(J545)*SIN(J545)),COMPLEX(1,0))</f>
        <v>1</v>
      </c>
      <c r="L545" s="7" t="str">
        <f aca="false">IF(B545="mass",COMPLEX(-I545/(2*E545)*(SINH(J545)*COS(J545)+COSH(J545)*SIN(J545)),-I545/(2*E545)*(COSH(J545)*SIN(J545)-SINH(J545)*COS(J545))),COMPLEX(-H545,0))</f>
        <v>-0</v>
      </c>
      <c r="M545" s="7" t="str">
        <f aca="false">IF(B545="mass",COMPLEX(-E545/I545*(SINH(J545)*COS(J545)-COSH(J545)*SIN(J545)),-E545/I545*(SINH(J545)*COS(J545)+COSH(J545)*SIN(J545))),COMPLEX(0,0))</f>
        <v>0</v>
      </c>
      <c r="N545" s="7" t="str">
        <f aca="false">K545</f>
        <v>1</v>
      </c>
      <c r="O545" s="7" t="str">
        <f aca="false">IMSUM(IMPRODUCT(K545,O544),IMPRODUCT(L545,Q544))</f>
        <v>-3.06464506409535+7.52012008283827i</v>
      </c>
      <c r="P545" s="7" t="str">
        <f aca="false">IMSUM(IMPRODUCT(K545,P544),IMPRODUCT(L545,R544))</f>
        <v>-2.7846395725729-3.80795218460225i</v>
      </c>
      <c r="Q545" s="7" t="str">
        <f aca="false">IMSUM(IMPRODUCT(M545,O544),IMPRODUCT(N545,Q544))</f>
        <v>3.07310597149816-1.68729319795918i</v>
      </c>
      <c r="R545" s="7" t="str">
        <f aca="false">IMSUM(IMPRODUCT(M545,P544),IMPRODUCT(N545,R544))</f>
        <v>-0.148870648694654+1.92003051252317i</v>
      </c>
      <c r="S545" s="10" t="n">
        <f aca="false">IF(B545="mass",D545/E545,H545)</f>
        <v>0</v>
      </c>
      <c r="T545" s="12" t="n">
        <f aca="false">IF(B545="mass",F545*G545*D545,0)</f>
        <v>0</v>
      </c>
    </row>
    <row r="546" customFormat="false" ht="15" hidden="false" customHeight="false" outlineLevel="0" collapsed="false">
      <c r="A546" s="7" t="s">
        <v>52</v>
      </c>
      <c r="B546" s="7" t="s">
        <v>42</v>
      </c>
      <c r="H546" s="10" t="n">
        <f aca="false">IF($W$534="ext",0.04,IF($W$534="room",$Y$534,0))</f>
        <v>0.04</v>
      </c>
      <c r="I546" s="11" t="n">
        <f aca="false">IF(B546="mass",SQRT(E546*($B$2*3600)/(PI()*F546*G546)),0)</f>
        <v>0</v>
      </c>
      <c r="J546" s="10" t="n">
        <f aca="false">IF(B546="mass",D546/I546,0)</f>
        <v>0</v>
      </c>
      <c r="K546" s="7" t="str">
        <f aca="false">IF(B546="mass",COMPLEX(COSH(J546)*COS(J546),SINH(J546)*SIN(J546)),COMPLEX(1,0))</f>
        <v>1</v>
      </c>
      <c r="L546" s="7" t="str">
        <f aca="false">IF(B546="mass",COMPLEX(-I546/(2*E546)*(SINH(J546)*COS(J546)+COSH(J546)*SIN(J546)),-I546/(2*E546)*(COSH(J546)*SIN(J546)-SINH(J546)*COS(J546))),COMPLEX(-H546,0))</f>
        <v>-0.04</v>
      </c>
      <c r="M546" s="7" t="str">
        <f aca="false">IF(B546="mass",COMPLEX(-E546/I546*(SINH(J546)*COS(J546)-COSH(J546)*SIN(J546)),-E546/I546*(SINH(J546)*COS(J546)+COSH(J546)*SIN(J546))),COMPLEX(0,0))</f>
        <v>0</v>
      </c>
      <c r="N546" s="7" t="str">
        <f aca="false">K546</f>
        <v>1</v>
      </c>
      <c r="O546" s="7" t="str">
        <f aca="false">IMSUM(IMPRODUCT(K546,O545),IMPRODUCT(L546,Q545))</f>
        <v>-3.18756930295528+7.58761181075664i</v>
      </c>
      <c r="P546" s="7" t="str">
        <f aca="false">IMSUM(IMPRODUCT(K546,P545),IMPRODUCT(L546,R545))</f>
        <v>-2.77868474662511-3.88475340510318i</v>
      </c>
      <c r="Q546" s="7" t="str">
        <f aca="false">IMSUM(IMPRODUCT(M546,O545),IMPRODUCT(N546,Q545))</f>
        <v>3.07310597149816-1.68729319795918i</v>
      </c>
      <c r="R546" s="7" t="str">
        <f aca="false">IMSUM(IMPRODUCT(M546,P545),IMPRODUCT(N546,R545))</f>
        <v>-0.148870648694654+1.92003051252317i</v>
      </c>
      <c r="S546" s="10" t="n">
        <f aca="false">IF(B546="mass",D546/E546,H546)</f>
        <v>0.04</v>
      </c>
      <c r="T546" s="12" t="n">
        <f aca="false">IF(B546="mass",F546*G546*D546,0)</f>
        <v>0</v>
      </c>
    </row>
    <row r="547" customFormat="false" ht="15" hidden="false" customHeight="false" outlineLevel="0" collapsed="false">
      <c r="A547" s="9" t="s">
        <v>53</v>
      </c>
      <c r="B547" s="13" t="n">
        <f aca="false">IF(OR($W$534="ext",$W$534="ground"),1/SUM(S536:S546),"–")</f>
        <v>0.242886884108258</v>
      </c>
      <c r="C547" s="9" t="s">
        <v>54</v>
      </c>
      <c r="D547" s="13" t="n">
        <f aca="false">IMABS(IMDIV(IMPRODUCT(O546,COMPLEX(-1,0)),P546))</f>
        <v>1.72310969708013</v>
      </c>
      <c r="E547" s="9" t="s">
        <v>55</v>
      </c>
      <c r="F547" s="14" t="n">
        <f aca="false">IMARGUMENT(IMDIV(IMPRODUCT(O546,COMPLEX(-1,0)),P546))*$B$2/(2*PI())</f>
        <v>3.89084861562251</v>
      </c>
      <c r="G547" s="9" t="s">
        <v>56</v>
      </c>
      <c r="H547" s="13" t="n">
        <f aca="false">IF($W$534="ext",IMABS(IMDIV(COMPLEX(-1,0),P546))*SUM(S536:S546),"–")</f>
        <v>0.862006353919114</v>
      </c>
      <c r="I547" s="9" t="s">
        <v>57</v>
      </c>
      <c r="J547" s="14" t="n">
        <f aca="false">IF($W$534="ext",MOD(-IMARGUMENT(IMDIV(COMPLEX(-1,0),P546))*$B$2/(2*PI()),24),"–")</f>
        <v>3.62830892843774</v>
      </c>
      <c r="K547" s="9" t="s">
        <v>58</v>
      </c>
      <c r="L547" s="15" t="n">
        <f aca="false">($B$2*3600)/(2*PI())*IMABS(IMDIV(IMSUB(O546,COMPLEX(1,0)),P546))/1000</f>
        <v>24.9511356414122</v>
      </c>
      <c r="M547" s="9" t="s">
        <v>59</v>
      </c>
      <c r="N547" s="15" t="n">
        <f aca="false">SUM(T537:T544)/1000</f>
        <v>35.11</v>
      </c>
      <c r="O547" s="9" t="s">
        <v>60</v>
      </c>
      <c r="P547" s="16" t="n">
        <f aca="false">SUM(S537:S544)</f>
        <v>3.90714285714286</v>
      </c>
    </row>
    <row r="549" customFormat="false" ht="15" hidden="false" customHeight="false" outlineLevel="0" collapsed="false">
      <c r="A549" s="4" t="s">
        <v>122</v>
      </c>
    </row>
    <row r="550" customFormat="false" ht="15" hidden="false" customHeight="false" outlineLevel="0" collapsed="false">
      <c r="A550" s="9"/>
      <c r="B550" s="9" t="s">
        <v>62</v>
      </c>
      <c r="C550" s="9" t="s">
        <v>63</v>
      </c>
      <c r="D550" s="9"/>
      <c r="E550" s="9"/>
      <c r="F550" s="9"/>
      <c r="G550" s="9"/>
      <c r="H550" s="9"/>
      <c r="I550" s="9"/>
      <c r="J550" s="9"/>
      <c r="K550" s="9" t="s">
        <v>32</v>
      </c>
      <c r="L550" s="9" t="s">
        <v>33</v>
      </c>
      <c r="M550" s="9" t="s">
        <v>34</v>
      </c>
      <c r="N550" s="9" t="s">
        <v>35</v>
      </c>
      <c r="O550" s="9" t="s">
        <v>36</v>
      </c>
      <c r="P550" s="9" t="s">
        <v>37</v>
      </c>
      <c r="Q550" s="9" t="s">
        <v>38</v>
      </c>
      <c r="R550" s="9" t="s">
        <v>39</v>
      </c>
    </row>
    <row r="551" customFormat="false" ht="15" hidden="false" customHeight="false" outlineLevel="0" collapsed="false">
      <c r="A551" s="7" t="s">
        <v>22</v>
      </c>
      <c r="B551" s="7" t="s">
        <v>42</v>
      </c>
      <c r="C551" s="10" t="n">
        <f aca="false">$Y$534</f>
        <v>0.17</v>
      </c>
      <c r="K551" s="7" t="str">
        <f aca="false">COMPLEX(1,0)</f>
        <v>1</v>
      </c>
      <c r="L551" s="7" t="str">
        <f aca="false">COMPLEX(-C551,0)</f>
        <v>-0.17</v>
      </c>
      <c r="M551" s="7" t="str">
        <f aca="false">COMPLEX(0,0)</f>
        <v>0</v>
      </c>
      <c r="N551" s="7" t="str">
        <f aca="false">COMPLEX(1,0)</f>
        <v>1</v>
      </c>
      <c r="O551" s="7" t="str">
        <f aca="false">K551</f>
        <v>1</v>
      </c>
      <c r="P551" s="7" t="str">
        <f aca="false">L551</f>
        <v>-0.17</v>
      </c>
      <c r="Q551" s="7" t="str">
        <f aca="false">M551</f>
        <v>0</v>
      </c>
      <c r="R551" s="7" t="str">
        <f aca="false">N551</f>
        <v>1</v>
      </c>
    </row>
    <row r="552" customFormat="false" ht="15" hidden="false" customHeight="false" outlineLevel="0" collapsed="false">
      <c r="A552" s="7" t="s">
        <v>64</v>
      </c>
      <c r="B552" s="7" t="s">
        <v>65</v>
      </c>
      <c r="C552" s="10" t="n">
        <f aca="false">INDEX(Classes!$B$5:$F$9,MATCH(Engine!$C$533,Classes!$A$5:$A$9,0),5)*(N547*1000)</f>
        <v>35110</v>
      </c>
      <c r="K552" s="7" t="str">
        <f aca="false">COMPLEX(1,0)</f>
        <v>1</v>
      </c>
      <c r="L552" s="7" t="str">
        <f aca="false">COMPLEX(0,0)</f>
        <v>0</v>
      </c>
      <c r="M552" s="7" t="str">
        <f aca="false">COMPLEX(0,-(2*PI()/($B$2*3600))*C552)</f>
        <v>-2.55327125156337i</v>
      </c>
      <c r="N552" s="7" t="str">
        <f aca="false">COMPLEX(1,0)</f>
        <v>1</v>
      </c>
      <c r="O552" s="7" t="str">
        <f aca="false">IMSUM(IMPRODUCT(K552,O551),IMPRODUCT(L552,Q551))</f>
        <v>1</v>
      </c>
      <c r="P552" s="7" t="str">
        <f aca="false">IMSUM(IMPRODUCT(K552,P551),IMPRODUCT(L552,R551))</f>
        <v>-0.17</v>
      </c>
      <c r="Q552" s="7" t="str">
        <f aca="false">IMSUM(IMPRODUCT(M552,O551),IMPRODUCT(N552,Q551))</f>
        <v>-2.55327125156337i</v>
      </c>
      <c r="R552" s="7" t="str">
        <f aca="false">IMSUM(IMPRODUCT(M552,P551),IMPRODUCT(N552,R551))</f>
        <v>1+0.434056112765773i</v>
      </c>
    </row>
    <row r="553" customFormat="false" ht="15" hidden="false" customHeight="false" outlineLevel="0" collapsed="false">
      <c r="A553" s="7" t="s">
        <v>66</v>
      </c>
      <c r="B553" s="7" t="s">
        <v>42</v>
      </c>
      <c r="C553" s="10" t="n">
        <f aca="false">P547/6</f>
        <v>0.651190476190476</v>
      </c>
      <c r="K553" s="7" t="str">
        <f aca="false">COMPLEX(1,0)</f>
        <v>1</v>
      </c>
      <c r="L553" s="7" t="str">
        <f aca="false">COMPLEX(-C553,0)</f>
        <v>-0.651190476190476</v>
      </c>
      <c r="M553" s="7" t="str">
        <f aca="false">COMPLEX(0,0)</f>
        <v>0</v>
      </c>
      <c r="N553" s="7" t="str">
        <f aca="false">COMPLEX(1,0)</f>
        <v>1</v>
      </c>
      <c r="O553" s="7" t="str">
        <f aca="false">IMSUM(IMPRODUCT(K553,O552),IMPRODUCT(L553,Q552))</f>
        <v>1+1.662665922149i</v>
      </c>
      <c r="P553" s="7" t="str">
        <f aca="false">IMSUM(IMPRODUCT(K553,P552),IMPRODUCT(L553,R552))</f>
        <v>-0.821190476190476-0.282653206765331i</v>
      </c>
      <c r="Q553" s="7" t="str">
        <f aca="false">IMSUM(IMPRODUCT(M553,O552),IMPRODUCT(N553,Q552))</f>
        <v>-2.55327125156337i</v>
      </c>
      <c r="R553" s="7" t="str">
        <f aca="false">IMSUM(IMPRODUCT(M553,P552),IMPRODUCT(N553,R552))</f>
        <v>1+0.434056112765773i</v>
      </c>
    </row>
    <row r="554" customFormat="false" ht="15" hidden="false" customHeight="false" outlineLevel="0" collapsed="false">
      <c r="A554" s="7" t="s">
        <v>67</v>
      </c>
      <c r="B554" s="7" t="s">
        <v>65</v>
      </c>
      <c r="C554" s="10" t="n">
        <f aca="false">INDEX(Classes!$B$5:$F$9,MATCH(Engine!$C$533,Classes!$A$5:$A$9,0),4)*(N547*1000)</f>
        <v>0</v>
      </c>
      <c r="K554" s="7" t="str">
        <f aca="false">COMPLEX(1,0)</f>
        <v>1</v>
      </c>
      <c r="L554" s="7" t="str">
        <f aca="false">COMPLEX(0,0)</f>
        <v>0</v>
      </c>
      <c r="M554" s="7" t="str">
        <f aca="false">COMPLEX(0,-(2*PI()/($B$2*3600))*C554)</f>
        <v>0</v>
      </c>
      <c r="N554" s="7" t="str">
        <f aca="false">COMPLEX(1,0)</f>
        <v>1</v>
      </c>
      <c r="O554" s="7" t="str">
        <f aca="false">IMSUM(IMPRODUCT(K554,O553),IMPRODUCT(L554,Q553))</f>
        <v>1+1.662665922149i</v>
      </c>
      <c r="P554" s="7" t="str">
        <f aca="false">IMSUM(IMPRODUCT(K554,P553),IMPRODUCT(L554,R553))</f>
        <v>-0.821190476190476-0.282653206765331i</v>
      </c>
      <c r="Q554" s="7" t="str">
        <f aca="false">IMSUM(IMPRODUCT(M554,O553),IMPRODUCT(N554,Q553))</f>
        <v>-2.55327125156337i</v>
      </c>
      <c r="R554" s="7" t="str">
        <f aca="false">IMSUM(IMPRODUCT(M554,P553),IMPRODUCT(N554,R553))</f>
        <v>1+0.434056112765773i</v>
      </c>
    </row>
    <row r="555" customFormat="false" ht="15" hidden="false" customHeight="false" outlineLevel="0" collapsed="false">
      <c r="A555" s="7" t="s">
        <v>68</v>
      </c>
      <c r="B555" s="7" t="s">
        <v>42</v>
      </c>
      <c r="C555" s="10" t="n">
        <f aca="false">P547/3</f>
        <v>1.30238095238095</v>
      </c>
      <c r="K555" s="7" t="str">
        <f aca="false">COMPLEX(1,0)</f>
        <v>1</v>
      </c>
      <c r="L555" s="7" t="str">
        <f aca="false">COMPLEX(-C555,0)</f>
        <v>-1.30238095238095</v>
      </c>
      <c r="M555" s="7" t="str">
        <f aca="false">COMPLEX(0,0)</f>
        <v>0</v>
      </c>
      <c r="N555" s="7" t="str">
        <f aca="false">COMPLEX(1,0)</f>
        <v>1</v>
      </c>
      <c r="O555" s="7" t="str">
        <f aca="false">IMSUM(IMPRODUCT(K555,O554),IMPRODUCT(L555,Q554))</f>
        <v>1+4.987997766447i</v>
      </c>
      <c r="P555" s="7" t="str">
        <f aca="false">IMSUM(IMPRODUCT(K555,P554),IMPRODUCT(L555,R554))</f>
        <v>-2.12357142857143-0.847959620295992i</v>
      </c>
      <c r="Q555" s="7" t="str">
        <f aca="false">IMSUM(IMPRODUCT(M555,O554),IMPRODUCT(N555,Q554))</f>
        <v>-2.55327125156337i</v>
      </c>
      <c r="R555" s="7" t="str">
        <f aca="false">IMSUM(IMPRODUCT(M555,P554),IMPRODUCT(N555,R554))</f>
        <v>1+0.434056112765773i</v>
      </c>
    </row>
    <row r="556" customFormat="false" ht="15" hidden="false" customHeight="false" outlineLevel="0" collapsed="false">
      <c r="A556" s="7" t="s">
        <v>69</v>
      </c>
      <c r="B556" s="7" t="s">
        <v>65</v>
      </c>
      <c r="C556" s="10" t="n">
        <f aca="false">INDEX(Classes!$B$5:$F$9,MATCH(Engine!$C$533,Classes!$A$5:$A$9,0),3)*(N547*1000)</f>
        <v>0</v>
      </c>
      <c r="K556" s="7" t="str">
        <f aca="false">COMPLEX(1,0)</f>
        <v>1</v>
      </c>
      <c r="L556" s="7" t="str">
        <f aca="false">COMPLEX(0,0)</f>
        <v>0</v>
      </c>
      <c r="M556" s="7" t="str">
        <f aca="false">COMPLEX(0,-(2*PI()/($B$2*3600))*C556)</f>
        <v>0</v>
      </c>
      <c r="N556" s="7" t="str">
        <f aca="false">COMPLEX(1,0)</f>
        <v>1</v>
      </c>
      <c r="O556" s="7" t="str">
        <f aca="false">IMSUM(IMPRODUCT(K556,O555),IMPRODUCT(L556,Q555))</f>
        <v>1+4.987997766447i</v>
      </c>
      <c r="P556" s="7" t="str">
        <f aca="false">IMSUM(IMPRODUCT(K556,P555),IMPRODUCT(L556,R555))</f>
        <v>-2.12357142857143-0.847959620295992i</v>
      </c>
      <c r="Q556" s="7" t="str">
        <f aca="false">IMSUM(IMPRODUCT(M556,O555),IMPRODUCT(N556,Q555))</f>
        <v>-2.55327125156337i</v>
      </c>
      <c r="R556" s="7" t="str">
        <f aca="false">IMSUM(IMPRODUCT(M556,P555),IMPRODUCT(N556,R555))</f>
        <v>1+0.434056112765773i</v>
      </c>
    </row>
    <row r="557" customFormat="false" ht="15" hidden="false" customHeight="false" outlineLevel="0" collapsed="false">
      <c r="A557" s="7" t="s">
        <v>68</v>
      </c>
      <c r="B557" s="7" t="s">
        <v>42</v>
      </c>
      <c r="C557" s="10" t="n">
        <f aca="false">P547/3</f>
        <v>1.30238095238095</v>
      </c>
      <c r="K557" s="7" t="str">
        <f aca="false">COMPLEX(1,0)</f>
        <v>1</v>
      </c>
      <c r="L557" s="7" t="str">
        <f aca="false">COMPLEX(-C557,0)</f>
        <v>-1.30238095238095</v>
      </c>
      <c r="M557" s="7" t="str">
        <f aca="false">COMPLEX(0,0)</f>
        <v>0</v>
      </c>
      <c r="N557" s="7" t="str">
        <f aca="false">COMPLEX(1,0)</f>
        <v>1</v>
      </c>
      <c r="O557" s="7" t="str">
        <f aca="false">IMSUM(IMPRODUCT(K557,O556),IMPRODUCT(L557,Q556))</f>
        <v>1+8.313329610745i</v>
      </c>
      <c r="P557" s="7" t="str">
        <f aca="false">IMSUM(IMPRODUCT(K557,P556),IMPRODUCT(L557,R556))</f>
        <v>-3.42595238095238-1.41326603382665i</v>
      </c>
      <c r="Q557" s="7" t="str">
        <f aca="false">IMSUM(IMPRODUCT(M557,O556),IMPRODUCT(N557,Q556))</f>
        <v>-2.55327125156337i</v>
      </c>
      <c r="R557" s="7" t="str">
        <f aca="false">IMSUM(IMPRODUCT(M557,P556),IMPRODUCT(N557,R556))</f>
        <v>1+0.434056112765773i</v>
      </c>
    </row>
    <row r="558" customFormat="false" ht="15" hidden="false" customHeight="false" outlineLevel="0" collapsed="false">
      <c r="A558" s="7" t="s">
        <v>70</v>
      </c>
      <c r="B558" s="7" t="s">
        <v>65</v>
      </c>
      <c r="C558" s="10" t="n">
        <f aca="false">INDEX(Classes!$B$5:$F$9,MATCH(Engine!$C$533,Classes!$A$5:$A$9,0),2)*(N547*1000)</f>
        <v>0</v>
      </c>
      <c r="K558" s="7" t="str">
        <f aca="false">COMPLEX(1,0)</f>
        <v>1</v>
      </c>
      <c r="L558" s="7" t="str">
        <f aca="false">COMPLEX(0,0)</f>
        <v>0</v>
      </c>
      <c r="M558" s="7" t="str">
        <f aca="false">COMPLEX(0,-(2*PI()/($B$2*3600))*C558)</f>
        <v>0</v>
      </c>
      <c r="N558" s="7" t="str">
        <f aca="false">COMPLEX(1,0)</f>
        <v>1</v>
      </c>
      <c r="O558" s="7" t="str">
        <f aca="false">IMSUM(IMPRODUCT(K558,O557),IMPRODUCT(L558,Q557))</f>
        <v>1+8.313329610745i</v>
      </c>
      <c r="P558" s="7" t="str">
        <f aca="false">IMSUM(IMPRODUCT(K558,P557),IMPRODUCT(L558,R557))</f>
        <v>-3.42595238095238-1.41326603382665i</v>
      </c>
      <c r="Q558" s="7" t="str">
        <f aca="false">IMSUM(IMPRODUCT(M558,O557),IMPRODUCT(N558,Q557))</f>
        <v>-2.55327125156337i</v>
      </c>
      <c r="R558" s="7" t="str">
        <f aca="false">IMSUM(IMPRODUCT(M558,P557),IMPRODUCT(N558,R557))</f>
        <v>1+0.434056112765773i</v>
      </c>
    </row>
    <row r="559" customFormat="false" ht="15" hidden="false" customHeight="false" outlineLevel="0" collapsed="false">
      <c r="A559" s="7" t="s">
        <v>66</v>
      </c>
      <c r="B559" s="7" t="s">
        <v>42</v>
      </c>
      <c r="C559" s="10" t="n">
        <f aca="false">P547/6</f>
        <v>0.651190476190476</v>
      </c>
      <c r="K559" s="7" t="str">
        <f aca="false">COMPLEX(1,0)</f>
        <v>1</v>
      </c>
      <c r="L559" s="7" t="str">
        <f aca="false">COMPLEX(-C559,0)</f>
        <v>-0.651190476190476</v>
      </c>
      <c r="M559" s="7" t="str">
        <f aca="false">COMPLEX(0,0)</f>
        <v>0</v>
      </c>
      <c r="N559" s="7" t="str">
        <f aca="false">COMPLEX(1,0)</f>
        <v>1</v>
      </c>
      <c r="O559" s="7" t="str">
        <f aca="false">IMSUM(IMPRODUCT(K559,O558),IMPRODUCT(L559,Q558))</f>
        <v>1+9.975995532894i</v>
      </c>
      <c r="P559" s="7" t="str">
        <f aca="false">IMSUM(IMPRODUCT(K559,P558),IMPRODUCT(L559,R558))</f>
        <v>-4.07714285714286-1.69591924059198i</v>
      </c>
      <c r="Q559" s="7" t="str">
        <f aca="false">IMSUM(IMPRODUCT(M559,O558),IMPRODUCT(N559,Q558))</f>
        <v>-2.55327125156337i</v>
      </c>
      <c r="R559" s="7" t="str">
        <f aca="false">IMSUM(IMPRODUCT(M559,P558),IMPRODUCT(N559,R558))</f>
        <v>1+0.434056112765773i</v>
      </c>
    </row>
    <row r="560" customFormat="false" ht="15" hidden="false" customHeight="false" outlineLevel="0" collapsed="false">
      <c r="A560" s="7" t="s">
        <v>71</v>
      </c>
      <c r="B560" s="7" t="s">
        <v>65</v>
      </c>
      <c r="C560" s="10" t="n">
        <f aca="false">INDEX(Classes!$B$5:$F$9,MATCH(Engine!$C$533,Classes!$A$5:$A$9,0),1)*(N547*1000)</f>
        <v>0</v>
      </c>
      <c r="K560" s="7" t="str">
        <f aca="false">COMPLEX(1,0)</f>
        <v>1</v>
      </c>
      <c r="L560" s="7" t="str">
        <f aca="false">COMPLEX(0,0)</f>
        <v>0</v>
      </c>
      <c r="M560" s="7" t="str">
        <f aca="false">COMPLEX(0,-(2*PI()/($B$2*3600))*C560)</f>
        <v>0</v>
      </c>
      <c r="N560" s="7" t="str">
        <f aca="false">COMPLEX(1,0)</f>
        <v>1</v>
      </c>
      <c r="O560" s="7" t="str">
        <f aca="false">IMSUM(IMPRODUCT(K560,O559),IMPRODUCT(L560,Q559))</f>
        <v>1+9.975995532894i</v>
      </c>
      <c r="P560" s="7" t="str">
        <f aca="false">IMSUM(IMPRODUCT(K560,P559),IMPRODUCT(L560,R559))</f>
        <v>-4.07714285714286-1.69591924059198i</v>
      </c>
      <c r="Q560" s="7" t="str">
        <f aca="false">IMSUM(IMPRODUCT(M560,O559),IMPRODUCT(N560,Q559))</f>
        <v>-2.55327125156337i</v>
      </c>
      <c r="R560" s="7" t="str">
        <f aca="false">IMSUM(IMPRODUCT(M560,P559),IMPRODUCT(N560,R559))</f>
        <v>1+0.434056112765773i</v>
      </c>
    </row>
    <row r="561" customFormat="false" ht="15" hidden="false" customHeight="false" outlineLevel="0" collapsed="false">
      <c r="A561" s="7" t="s">
        <v>72</v>
      </c>
      <c r="B561" s="7" t="s">
        <v>73</v>
      </c>
      <c r="K561" s="7" t="str">
        <f aca="false">K545</f>
        <v>1</v>
      </c>
      <c r="L561" s="7" t="str">
        <f aca="false">L545</f>
        <v>-0</v>
      </c>
      <c r="M561" s="7" t="str">
        <f aca="false">M545</f>
        <v>0</v>
      </c>
      <c r="N561" s="7" t="str">
        <f aca="false">N545</f>
        <v>1</v>
      </c>
      <c r="O561" s="7" t="str">
        <f aca="false">IMSUM(IMPRODUCT(K561,O560),IMPRODUCT(L561,Q560))</f>
        <v>1+9.975995532894i</v>
      </c>
      <c r="P561" s="7" t="str">
        <f aca="false">IMSUM(IMPRODUCT(K561,P560),IMPRODUCT(L561,R560))</f>
        <v>-4.07714285714286-1.69591924059198i</v>
      </c>
      <c r="Q561" s="7" t="str">
        <f aca="false">IMSUM(IMPRODUCT(M561,O560),IMPRODUCT(N561,Q560))</f>
        <v>-2.55327125156337i</v>
      </c>
      <c r="R561" s="7" t="str">
        <f aca="false">IMSUM(IMPRODUCT(M561,P560),IMPRODUCT(N561,R560))</f>
        <v>1+0.434056112765773i</v>
      </c>
    </row>
    <row r="562" customFormat="false" ht="15" hidden="false" customHeight="false" outlineLevel="0" collapsed="false">
      <c r="A562" s="7" t="s">
        <v>52</v>
      </c>
      <c r="B562" s="7" t="s">
        <v>73</v>
      </c>
      <c r="K562" s="7" t="str">
        <f aca="false">K546</f>
        <v>1</v>
      </c>
      <c r="L562" s="7" t="str">
        <f aca="false">L546</f>
        <v>-0.04</v>
      </c>
      <c r="M562" s="7" t="str">
        <f aca="false">M546</f>
        <v>0</v>
      </c>
      <c r="N562" s="7" t="str">
        <f aca="false">N546</f>
        <v>1</v>
      </c>
      <c r="O562" s="7" t="str">
        <f aca="false">IMSUM(IMPRODUCT(K562,O561),IMPRODUCT(L562,Q561))</f>
        <v>1+10.0781263829565i</v>
      </c>
      <c r="P562" s="7" t="str">
        <f aca="false">IMSUM(IMPRODUCT(K562,P561),IMPRODUCT(L562,R561))</f>
        <v>-4.11714285714286-1.71328148510261i</v>
      </c>
      <c r="Q562" s="7" t="str">
        <f aca="false">IMSUM(IMPRODUCT(M562,O561),IMPRODUCT(N562,Q561))</f>
        <v>-2.55327125156337i</v>
      </c>
      <c r="R562" s="7" t="str">
        <f aca="false">IMSUM(IMPRODUCT(M562,P561),IMPRODUCT(N562,R561))</f>
        <v>1+0.434056112765773i</v>
      </c>
    </row>
    <row r="563" customFormat="false" ht="15" hidden="false" customHeight="false" outlineLevel="0" collapsed="false">
      <c r="A563" s="9" t="s">
        <v>74</v>
      </c>
      <c r="B563" s="13" t="n">
        <f aca="false">IMABS(IMDIV(IMPRODUCT(O562,COMPLEX(-1,0)),P562))</f>
        <v>2.27107456004813</v>
      </c>
    </row>
    <row r="566" customFormat="false" ht="15" hidden="false" customHeight="false" outlineLevel="0" collapsed="false">
      <c r="A566" s="4" t="s">
        <v>123</v>
      </c>
      <c r="B566" s="9" t="s">
        <v>18</v>
      </c>
      <c r="C566" s="7" t="str">
        <f aca="false">INDEX(Library!$F$5:$F$34,MATCH(A566,Library!$A$5:$A$34,0))</f>
        <v>I</v>
      </c>
    </row>
    <row r="567" customFormat="false" ht="15" hidden="false" customHeight="false" outlineLevel="0" collapsed="false">
      <c r="A567" s="4" t="s">
        <v>124</v>
      </c>
      <c r="T567" s="9" t="s">
        <v>20</v>
      </c>
      <c r="U567" s="7" t="n">
        <f aca="false">MATCH($A$566,Library!$A$5:$A$34,0)</f>
        <v>18</v>
      </c>
      <c r="V567" s="9" t="s">
        <v>21</v>
      </c>
      <c r="W567" s="7" t="str">
        <f aca="false">INDEX(Library!$D$5:$D$34,$U$567)</f>
        <v>ground</v>
      </c>
      <c r="X567" s="9" t="s">
        <v>22</v>
      </c>
      <c r="Y567" s="7" t="n">
        <f aca="false">INDEX(Library!$E$5:$E$34,$U$567)</f>
        <v>0.17</v>
      </c>
    </row>
    <row r="568" customFormat="false" ht="15" hidden="false" customHeight="false" outlineLevel="0" collapsed="false">
      <c r="A568" s="9"/>
      <c r="B568" s="9" t="s">
        <v>23</v>
      </c>
      <c r="C568" s="9" t="s">
        <v>24</v>
      </c>
      <c r="D568" s="9" t="s">
        <v>25</v>
      </c>
      <c r="E568" s="9" t="s">
        <v>26</v>
      </c>
      <c r="F568" s="9" t="s">
        <v>27</v>
      </c>
      <c r="G568" s="9" t="s">
        <v>28</v>
      </c>
      <c r="H568" s="9" t="s">
        <v>29</v>
      </c>
      <c r="I568" s="9" t="s">
        <v>30</v>
      </c>
      <c r="J568" s="9" t="s">
        <v>31</v>
      </c>
      <c r="K568" s="9" t="s">
        <v>32</v>
      </c>
      <c r="L568" s="9" t="s">
        <v>33</v>
      </c>
      <c r="M568" s="9" t="s">
        <v>34</v>
      </c>
      <c r="N568" s="9" t="s">
        <v>35</v>
      </c>
      <c r="O568" s="9" t="s">
        <v>36</v>
      </c>
      <c r="P568" s="9" t="s">
        <v>37</v>
      </c>
      <c r="Q568" s="9" t="s">
        <v>38</v>
      </c>
      <c r="R568" s="9" t="s">
        <v>39</v>
      </c>
      <c r="S568" s="9" t="s">
        <v>40</v>
      </c>
      <c r="T568" s="9" t="s">
        <v>41</v>
      </c>
    </row>
    <row r="569" customFormat="false" ht="15" hidden="false" customHeight="false" outlineLevel="0" collapsed="false">
      <c r="A569" s="7" t="s">
        <v>22</v>
      </c>
      <c r="B569" s="7" t="s">
        <v>42</v>
      </c>
      <c r="H569" s="10" t="n">
        <f aca="false">$Y$567</f>
        <v>0.17</v>
      </c>
      <c r="I569" s="11" t="n">
        <f aca="false">IF(B569="mass",SQRT(E569*($B$2*3600)/(PI()*F569*G569)),0)</f>
        <v>0</v>
      </c>
      <c r="J569" s="10" t="n">
        <f aca="false">IF(B569="mass",D569/I569,0)</f>
        <v>0</v>
      </c>
      <c r="K569" s="7" t="str">
        <f aca="false">IF(B569="mass",COMPLEX(COSH(J569)*COS(J569),SINH(J569)*SIN(J569)),COMPLEX(1,0))</f>
        <v>1</v>
      </c>
      <c r="L569" s="7" t="str">
        <f aca="false">IF(B569="mass",COMPLEX(-I569/(2*E569)*(SINH(J569)*COS(J569)+COSH(J569)*SIN(J569)),-I569/(2*E569)*(COSH(J569)*SIN(J569)-SINH(J569)*COS(J569))),COMPLEX(-H569,0))</f>
        <v>-0.17</v>
      </c>
      <c r="M569" s="7" t="str">
        <f aca="false">IF(B569="mass",COMPLEX(-E569/I569*(SINH(J569)*COS(J569)-COSH(J569)*SIN(J569)),-E569/I569*(SINH(J569)*COS(J569)+COSH(J569)*SIN(J569))),COMPLEX(0,0))</f>
        <v>0</v>
      </c>
      <c r="N569" s="7" t="str">
        <f aca="false">K569</f>
        <v>1</v>
      </c>
      <c r="O569" s="7" t="str">
        <f aca="false">K569</f>
        <v>1</v>
      </c>
      <c r="P569" s="7" t="str">
        <f aca="false">L569</f>
        <v>-0.17</v>
      </c>
      <c r="Q569" s="7" t="str">
        <f aca="false">M569</f>
        <v>0</v>
      </c>
      <c r="R569" s="7" t="str">
        <f aca="false">N569</f>
        <v>1</v>
      </c>
      <c r="S569" s="10" t="n">
        <f aca="false">IF(B569="mass",D569/E569,H569)</f>
        <v>0.17</v>
      </c>
      <c r="T569" s="12" t="n">
        <f aca="false">IF(B569="mass",F569*G569*D569,0)</f>
        <v>0</v>
      </c>
    </row>
    <row r="570" customFormat="false" ht="15" hidden="false" customHeight="false" outlineLevel="0" collapsed="false">
      <c r="A570" s="7" t="s">
        <v>43</v>
      </c>
      <c r="B570" s="7" t="str">
        <f aca="false">IF(C570="","none",IF(C570="Cavity","res","mass"))</f>
        <v>mass</v>
      </c>
      <c r="C570" s="7" t="str">
        <f aca="false">IF(INDEX(Library!$G$5:$G$34,$U$567)="","",INDEX(Library!$G$5:$G$34,$U$567))</f>
        <v>dense concrete</v>
      </c>
      <c r="D570" s="11" t="n">
        <f aca="false">IF(B570="mass",INDEX(Library!$H$5:$H$34,$U$567)/1000,0)</f>
        <v>0.15</v>
      </c>
      <c r="E570" s="7" t="n">
        <f aca="false">IF(B570="mass",INDEX(Materials!$B$5:$B$28,MATCH(C570,Materials!$A$5:$A$28,0)),0)</f>
        <v>2</v>
      </c>
      <c r="F570" s="7" t="n">
        <f aca="false">IF(B570="mass",INDEX(Materials!$C$5:$C$28,MATCH(C570,Materials!$A$5:$A$28,0)),0)</f>
        <v>2400</v>
      </c>
      <c r="G570" s="7" t="n">
        <f aca="false">IF(B570="mass",INDEX(Materials!$D$5:$D$28,MATCH(C570,Materials!$A$5:$A$28,0)),0)</f>
        <v>1000</v>
      </c>
      <c r="H570" s="10" t="n">
        <f aca="false">IF(B570="res",INDEX(Library!$H$5:$H$34,$U$567),0)</f>
        <v>0</v>
      </c>
      <c r="I570" s="11" t="n">
        <f aca="false">IF(B570="mass",SQRT(E570*($B$2*3600)/(PI()*F570*G570)),0)</f>
        <v>0.15138795132121</v>
      </c>
      <c r="J570" s="10" t="n">
        <f aca="false">IF(B570="mass",D570/I570,0)</f>
        <v>0.990831824401503</v>
      </c>
      <c r="K570" s="7" t="str">
        <f aca="false">IF(B570="mass",COMPLEX(COSH(J570)*COS(J570),SINH(J570)*SIN(J570)),COMPLEX(1,0))</f>
        <v>0.839730425010728+0.971242006803916i</v>
      </c>
      <c r="L570" s="7" t="str">
        <f aca="false">IF(B570="mass",COMPLEX(-I570/(2*E570)*(SINH(J570)*COS(J570)+COSH(J570)*SIN(J570)),-I570/(2*E570)*(COSH(J570)*SIN(J570)-SINH(J570)*COS(J570))),COMPLEX(-H570,0))</f>
        <v>-0.0725934998986889-0.0244311002354339i</v>
      </c>
      <c r="M570" s="7" t="str">
        <f aca="false">IF(B570="mass",COMPLEX(-E570/I570*(SINH(J570)*COS(J570)-COSH(J570)*SIN(J570)),-E570/I570*(SINH(J570)*COS(J570)+COSH(J570)*SIN(J570))),COMPLEX(0,0))</f>
        <v>8.52806277986165-25.3399117755658i</v>
      </c>
      <c r="N570" s="7" t="str">
        <f aca="false">K570</f>
        <v>0.839730425010728+0.971242006803916i</v>
      </c>
      <c r="O570" s="7" t="str">
        <f aca="false">IMSUM(IMPRODUCT(K570,O569),IMPRODUCT(L570,Q569))</f>
        <v>0.839730425010728+0.971242006803916i</v>
      </c>
      <c r="P570" s="7" t="str">
        <f aca="false">IMSUM(IMPRODUCT(K570,P569),IMPRODUCT(L570,R569))</f>
        <v>-0.215347672150513-0.1895422413921i</v>
      </c>
      <c r="Q570" s="7" t="str">
        <f aca="false">IMSUM(IMPRODUCT(M570,O569),IMPRODUCT(N570,Q569))</f>
        <v>8.52806277986165-25.3399117755658i</v>
      </c>
      <c r="R570" s="7" t="str">
        <f aca="false">IMSUM(IMPRODUCT(M570,P569),IMPRODUCT(N570,R569))</f>
        <v>-0.610040247565752+5.27902700865011i</v>
      </c>
      <c r="S570" s="10" t="n">
        <f aca="false">IF(B570="mass",D570/E570,H570)</f>
        <v>0.075</v>
      </c>
      <c r="T570" s="12" t="n">
        <f aca="false">IF(B570="mass",F570*G570*D570,0)</f>
        <v>360000</v>
      </c>
    </row>
    <row r="571" customFormat="false" ht="15" hidden="false" customHeight="false" outlineLevel="0" collapsed="false">
      <c r="A571" s="7" t="s">
        <v>44</v>
      </c>
      <c r="B571" s="7" t="str">
        <f aca="false">IF(C571="","none",IF(C571="Cavity","res","mass"))</f>
        <v>mass</v>
      </c>
      <c r="C571" s="7" t="str">
        <f aca="false">IF(INDEX(Library!$I$5:$I$34,$U$567)="","",INDEX(Library!$I$5:$I$34,$U$567))</f>
        <v>PIR</v>
      </c>
      <c r="D571" s="11" t="n">
        <f aca="false">IF(B571="mass",INDEX(Library!$J$5:$J$34,$U$567)/1000,0)</f>
        <v>0.12</v>
      </c>
      <c r="E571" s="7" t="n">
        <f aca="false">IF(B571="mass",INDEX(Materials!$B$5:$B$28,MATCH(C571,Materials!$A$5:$A$28,0)),0)</f>
        <v>0.022</v>
      </c>
      <c r="F571" s="7" t="n">
        <f aca="false">IF(B571="mass",INDEX(Materials!$C$5:$C$28,MATCH(C571,Materials!$A$5:$A$28,0)),0)</f>
        <v>30</v>
      </c>
      <c r="G571" s="7" t="n">
        <f aca="false">IF(B571="mass",INDEX(Materials!$D$5:$D$28,MATCH(C571,Materials!$A$5:$A$28,0)),0)</f>
        <v>1400</v>
      </c>
      <c r="H571" s="10" t="n">
        <f aca="false">IF(B571="res",INDEX(Library!$J$5:$J$34,$U$567),0)</f>
        <v>0</v>
      </c>
      <c r="I571" s="11" t="n">
        <f aca="false">IF(B571="mass",SQRT(E571*($B$2*3600)/(PI()*F571*G571)),0)</f>
        <v>0.120024147536488</v>
      </c>
      <c r="J571" s="10" t="n">
        <f aca="false">IF(B571="mass",D571/I571,0)</f>
        <v>0.999798811014418</v>
      </c>
      <c r="K571" s="7" t="str">
        <f aca="false">IF(B571="mass",COMPLEX(COSH(J571)*COS(J571),SINH(J571)*SIN(J571)),COMPLEX(1,0))</f>
        <v>0.833863472726507+0.988508756402039i</v>
      </c>
      <c r="L571" s="7" t="str">
        <f aca="false">IF(B571="mass",COMPLEX(-I571/(2*E571)*(SINH(J571)*COS(J571)+COSH(J571)*SIN(J571)),-I571/(2*E571)*(COSH(J571)*SIN(J571)-SINH(J571)*COS(J571))),COMPLEX(-H571,0))</f>
        <v>-5.27311360534211-1.80880709633746i</v>
      </c>
      <c r="M571" s="7" t="str">
        <f aca="false">IF(B571="mass",COMPLEX(-E571/I571*(SINH(J571)*COS(J571)-COSH(J571)*SIN(J571)),-E571/I571*(SINH(J571)*COS(J571)+COSH(J571)*SIN(J571))),COMPLEX(0,0))</f>
        <v>0.121543111553428-0.354327797842976i</v>
      </c>
      <c r="N571" s="7" t="str">
        <f aca="false">K571</f>
        <v>0.833863472726507+0.988508756402039i</v>
      </c>
      <c r="O571" s="7" t="str">
        <f aca="false">IMSUM(IMPRODUCT(K571,O570),IMPRODUCT(L571,Q570))</f>
        <v>-91.0643168118663+119.834577178472i</v>
      </c>
      <c r="P571" s="7" t="str">
        <f aca="false">IMSUM(IMPRODUCT(K571,P570),IMPRODUCT(L571,R570))</f>
        <v>12.7733466518299-27.1043894246602i</v>
      </c>
      <c r="Q571" s="7" t="str">
        <f aca="false">IMSUM(IMPRODUCT(M571,O570),IMPRODUCT(N571,Q570))</f>
        <v>32.6061662120123-12.8794541554146i</v>
      </c>
      <c r="R571" s="7" t="str">
        <f aca="false">IMSUM(IMPRODUCT(M571,P570),IMPRODUCT(N571,R570))</f>
        <v>-5.82038881380126+3.85222378022769i</v>
      </c>
      <c r="S571" s="10" t="n">
        <f aca="false">IF(B571="mass",D571/E571,H571)</f>
        <v>5.45454545454546</v>
      </c>
      <c r="T571" s="12" t="n">
        <f aca="false">IF(B571="mass",F571*G571*D571,0)</f>
        <v>5040</v>
      </c>
    </row>
    <row r="572" customFormat="false" ht="15" hidden="false" customHeight="false" outlineLevel="0" collapsed="false">
      <c r="A572" s="7" t="s">
        <v>45</v>
      </c>
      <c r="B572" s="7" t="str">
        <f aca="false">IF(C572="","none",IF(C572="Cavity","res","mass"))</f>
        <v>none</v>
      </c>
      <c r="C572" s="7" t="str">
        <f aca="false">IF(INDEX(Library!$K$5:$K$34,$U$567)="","",INDEX(Library!$K$5:$K$34,$U$567))</f>
        <v/>
      </c>
      <c r="D572" s="11" t="n">
        <f aca="false">IF(B572="mass",INDEX(Library!$L$5:$L$34,$U$567)/1000,0)</f>
        <v>0</v>
      </c>
      <c r="E572" s="7" t="n">
        <f aca="false">IF(B572="mass",INDEX(Materials!$B$5:$B$28,MATCH(C572,Materials!$A$5:$A$28,0)),0)</f>
        <v>0</v>
      </c>
      <c r="F572" s="7" t="n">
        <f aca="false">IF(B572="mass",INDEX(Materials!$C$5:$C$28,MATCH(C572,Materials!$A$5:$A$28,0)),0)</f>
        <v>0</v>
      </c>
      <c r="G572" s="7" t="n">
        <f aca="false">IF(B572="mass",INDEX(Materials!$D$5:$D$28,MATCH(C572,Materials!$A$5:$A$28,0)),0)</f>
        <v>0</v>
      </c>
      <c r="H572" s="10" t="n">
        <f aca="false">IF(B572="res",INDEX(Library!$L$5:$L$34,$U$567),0)</f>
        <v>0</v>
      </c>
      <c r="I572" s="11" t="n">
        <f aca="false">IF(B572="mass",SQRT(E572*($B$2*3600)/(PI()*F572*G572)),0)</f>
        <v>0</v>
      </c>
      <c r="J572" s="10" t="n">
        <f aca="false">IF(B572="mass",D572/I572,0)</f>
        <v>0</v>
      </c>
      <c r="K572" s="7" t="str">
        <f aca="false">IF(B572="mass",COMPLEX(COSH(J572)*COS(J572),SINH(J572)*SIN(J572)),COMPLEX(1,0))</f>
        <v>1</v>
      </c>
      <c r="L572" s="7" t="str">
        <f aca="false">IF(B572="mass",COMPLEX(-I572/(2*E572)*(SINH(J572)*COS(J572)+COSH(J572)*SIN(J572)),-I572/(2*E572)*(COSH(J572)*SIN(J572)-SINH(J572)*COS(J572))),COMPLEX(-H572,0))</f>
        <v>-0</v>
      </c>
      <c r="M572" s="7" t="str">
        <f aca="false">IF(B572="mass",COMPLEX(-E572/I572*(SINH(J572)*COS(J572)-COSH(J572)*SIN(J572)),-E572/I572*(SINH(J572)*COS(J572)+COSH(J572)*SIN(J572))),COMPLEX(0,0))</f>
        <v>0</v>
      </c>
      <c r="N572" s="7" t="str">
        <f aca="false">K572</f>
        <v>1</v>
      </c>
      <c r="O572" s="7" t="str">
        <f aca="false">IMSUM(IMPRODUCT(K572,O571),IMPRODUCT(L572,Q571))</f>
        <v>-91.0643168118663+119.834577178472i</v>
      </c>
      <c r="P572" s="7" t="str">
        <f aca="false">IMSUM(IMPRODUCT(K572,P571),IMPRODUCT(L572,R571))</f>
        <v>12.7733466518299-27.1043894246602i</v>
      </c>
      <c r="Q572" s="7" t="str">
        <f aca="false">IMSUM(IMPRODUCT(M572,O571),IMPRODUCT(N572,Q571))</f>
        <v>32.6061662120123-12.8794541554146i</v>
      </c>
      <c r="R572" s="7" t="str">
        <f aca="false">IMSUM(IMPRODUCT(M572,P571),IMPRODUCT(N572,R571))</f>
        <v>-5.82038881380126+3.85222378022769i</v>
      </c>
      <c r="S572" s="10" t="n">
        <f aca="false">IF(B572="mass",D572/E572,H572)</f>
        <v>0</v>
      </c>
      <c r="T572" s="12" t="n">
        <f aca="false">IF(B572="mass",F572*G572*D572,0)</f>
        <v>0</v>
      </c>
    </row>
    <row r="573" customFormat="false" ht="15" hidden="false" customHeight="false" outlineLevel="0" collapsed="false">
      <c r="A573" s="7" t="s">
        <v>46</v>
      </c>
      <c r="B573" s="7" t="str">
        <f aca="false">IF(C573="","none",IF(C573="Cavity","res","mass"))</f>
        <v>none</v>
      </c>
      <c r="C573" s="7" t="str">
        <f aca="false">IF(INDEX(Library!$M$5:$M$34,$U$567)="","",INDEX(Library!$M$5:$M$34,$U$567))</f>
        <v/>
      </c>
      <c r="D573" s="11" t="n">
        <f aca="false">IF(B573="mass",INDEX(Library!$N$5:$N$34,$U$567)/1000,0)</f>
        <v>0</v>
      </c>
      <c r="E573" s="7" t="n">
        <f aca="false">IF(B573="mass",INDEX(Materials!$B$5:$B$28,MATCH(C573,Materials!$A$5:$A$28,0)),0)</f>
        <v>0</v>
      </c>
      <c r="F573" s="7" t="n">
        <f aca="false">IF(B573="mass",INDEX(Materials!$C$5:$C$28,MATCH(C573,Materials!$A$5:$A$28,0)),0)</f>
        <v>0</v>
      </c>
      <c r="G573" s="7" t="n">
        <f aca="false">IF(B573="mass",INDEX(Materials!$D$5:$D$28,MATCH(C573,Materials!$A$5:$A$28,0)),0)</f>
        <v>0</v>
      </c>
      <c r="H573" s="10" t="n">
        <f aca="false">IF(B573="res",INDEX(Library!$N$5:$N$34,$U$567),0)</f>
        <v>0</v>
      </c>
      <c r="I573" s="11" t="n">
        <f aca="false">IF(B573="mass",SQRT(E573*($B$2*3600)/(PI()*F573*G573)),0)</f>
        <v>0</v>
      </c>
      <c r="J573" s="10" t="n">
        <f aca="false">IF(B573="mass",D573/I573,0)</f>
        <v>0</v>
      </c>
      <c r="K573" s="7" t="str">
        <f aca="false">IF(B573="mass",COMPLEX(COSH(J573)*COS(J573),SINH(J573)*SIN(J573)),COMPLEX(1,0))</f>
        <v>1</v>
      </c>
      <c r="L573" s="7" t="str">
        <f aca="false">IF(B573="mass",COMPLEX(-I573/(2*E573)*(SINH(J573)*COS(J573)+COSH(J573)*SIN(J573)),-I573/(2*E573)*(COSH(J573)*SIN(J573)-SINH(J573)*COS(J573))),COMPLEX(-H573,0))</f>
        <v>-0</v>
      </c>
      <c r="M573" s="7" t="str">
        <f aca="false">IF(B573="mass",COMPLEX(-E573/I573*(SINH(J573)*COS(J573)-COSH(J573)*SIN(J573)),-E573/I573*(SINH(J573)*COS(J573)+COSH(J573)*SIN(J573))),COMPLEX(0,0))</f>
        <v>0</v>
      </c>
      <c r="N573" s="7" t="str">
        <f aca="false">K573</f>
        <v>1</v>
      </c>
      <c r="O573" s="7" t="str">
        <f aca="false">IMSUM(IMPRODUCT(K573,O572),IMPRODUCT(L573,Q572))</f>
        <v>-91.0643168118663+119.834577178472i</v>
      </c>
      <c r="P573" s="7" t="str">
        <f aca="false">IMSUM(IMPRODUCT(K573,P572),IMPRODUCT(L573,R572))</f>
        <v>12.7733466518299-27.1043894246602i</v>
      </c>
      <c r="Q573" s="7" t="str">
        <f aca="false">IMSUM(IMPRODUCT(M573,O572),IMPRODUCT(N573,Q572))</f>
        <v>32.6061662120123-12.8794541554146i</v>
      </c>
      <c r="R573" s="7" t="str">
        <f aca="false">IMSUM(IMPRODUCT(M573,P572),IMPRODUCT(N573,R572))</f>
        <v>-5.82038881380126+3.85222378022769i</v>
      </c>
      <c r="S573" s="10" t="n">
        <f aca="false">IF(B573="mass",D573/E573,H573)</f>
        <v>0</v>
      </c>
      <c r="T573" s="12" t="n">
        <f aca="false">IF(B573="mass",F573*G573*D573,0)</f>
        <v>0</v>
      </c>
    </row>
    <row r="574" customFormat="false" ht="15" hidden="false" customHeight="false" outlineLevel="0" collapsed="false">
      <c r="A574" s="7" t="s">
        <v>47</v>
      </c>
      <c r="B574" s="7" t="str">
        <f aca="false">IF(C574="","none",IF(C574="Cavity","res","mass"))</f>
        <v>none</v>
      </c>
      <c r="C574" s="7" t="str">
        <f aca="false">IF(INDEX(Library!$O$5:$O$34,$U$567)="","",INDEX(Library!$O$5:$O$34,$U$567))</f>
        <v/>
      </c>
      <c r="D574" s="11" t="n">
        <f aca="false">IF(B574="mass",INDEX(Library!$P$5:$P$34,$U$567)/1000,0)</f>
        <v>0</v>
      </c>
      <c r="E574" s="7" t="n">
        <f aca="false">IF(B574="mass",INDEX(Materials!$B$5:$B$28,MATCH(C574,Materials!$A$5:$A$28,0)),0)</f>
        <v>0</v>
      </c>
      <c r="F574" s="7" t="n">
        <f aca="false">IF(B574="mass",INDEX(Materials!$C$5:$C$28,MATCH(C574,Materials!$A$5:$A$28,0)),0)</f>
        <v>0</v>
      </c>
      <c r="G574" s="7" t="n">
        <f aca="false">IF(B574="mass",INDEX(Materials!$D$5:$D$28,MATCH(C574,Materials!$A$5:$A$28,0)),0)</f>
        <v>0</v>
      </c>
      <c r="H574" s="10" t="n">
        <f aca="false">IF(B574="res",INDEX(Library!$P$5:$P$34,$U$567),0)</f>
        <v>0</v>
      </c>
      <c r="I574" s="11" t="n">
        <f aca="false">IF(B574="mass",SQRT(E574*($B$2*3600)/(PI()*F574*G574)),0)</f>
        <v>0</v>
      </c>
      <c r="J574" s="10" t="n">
        <f aca="false">IF(B574="mass",D574/I574,0)</f>
        <v>0</v>
      </c>
      <c r="K574" s="7" t="str">
        <f aca="false">IF(B574="mass",COMPLEX(COSH(J574)*COS(J574),SINH(J574)*SIN(J574)),COMPLEX(1,0))</f>
        <v>1</v>
      </c>
      <c r="L574" s="7" t="str">
        <f aca="false">IF(B574="mass",COMPLEX(-I574/(2*E574)*(SINH(J574)*COS(J574)+COSH(J574)*SIN(J574)),-I574/(2*E574)*(COSH(J574)*SIN(J574)-SINH(J574)*COS(J574))),COMPLEX(-H574,0))</f>
        <v>-0</v>
      </c>
      <c r="M574" s="7" t="str">
        <f aca="false">IF(B574="mass",COMPLEX(-E574/I574*(SINH(J574)*COS(J574)-COSH(J574)*SIN(J574)),-E574/I574*(SINH(J574)*COS(J574)+COSH(J574)*SIN(J574))),COMPLEX(0,0))</f>
        <v>0</v>
      </c>
      <c r="N574" s="7" t="str">
        <f aca="false">K574</f>
        <v>1</v>
      </c>
      <c r="O574" s="7" t="str">
        <f aca="false">IMSUM(IMPRODUCT(K574,O573),IMPRODUCT(L574,Q573))</f>
        <v>-91.0643168118663+119.834577178472i</v>
      </c>
      <c r="P574" s="7" t="str">
        <f aca="false">IMSUM(IMPRODUCT(K574,P573),IMPRODUCT(L574,R573))</f>
        <v>12.7733466518299-27.1043894246602i</v>
      </c>
      <c r="Q574" s="7" t="str">
        <f aca="false">IMSUM(IMPRODUCT(M574,O573),IMPRODUCT(N574,Q573))</f>
        <v>32.6061662120123-12.8794541554146i</v>
      </c>
      <c r="R574" s="7" t="str">
        <f aca="false">IMSUM(IMPRODUCT(M574,P573),IMPRODUCT(N574,R573))</f>
        <v>-5.82038881380126+3.85222378022769i</v>
      </c>
      <c r="S574" s="10" t="n">
        <f aca="false">IF(B574="mass",D574/E574,H574)</f>
        <v>0</v>
      </c>
      <c r="T574" s="12" t="n">
        <f aca="false">IF(B574="mass",F574*G574*D574,0)</f>
        <v>0</v>
      </c>
    </row>
    <row r="575" customFormat="false" ht="15" hidden="false" customHeight="false" outlineLevel="0" collapsed="false">
      <c r="A575" s="7" t="s">
        <v>48</v>
      </c>
      <c r="B575" s="7" t="str">
        <f aca="false">IF(C575="","none",IF(C575="Cavity","res","mass"))</f>
        <v>none</v>
      </c>
      <c r="C575" s="7" t="str">
        <f aca="false">IF(INDEX(Library!$Q$5:$Q$34,$U$567)="","",INDEX(Library!$Q$5:$Q$34,$U$567))</f>
        <v/>
      </c>
      <c r="D575" s="11" t="n">
        <f aca="false">IF(B575="mass",INDEX(Library!$R$5:$R$34,$U$567)/1000,0)</f>
        <v>0</v>
      </c>
      <c r="E575" s="7" t="n">
        <f aca="false">IF(B575="mass",INDEX(Materials!$B$5:$B$28,MATCH(C575,Materials!$A$5:$A$28,0)),0)</f>
        <v>0</v>
      </c>
      <c r="F575" s="7" t="n">
        <f aca="false">IF(B575="mass",INDEX(Materials!$C$5:$C$28,MATCH(C575,Materials!$A$5:$A$28,0)),0)</f>
        <v>0</v>
      </c>
      <c r="G575" s="7" t="n">
        <f aca="false">IF(B575="mass",INDEX(Materials!$D$5:$D$28,MATCH(C575,Materials!$A$5:$A$28,0)),0)</f>
        <v>0</v>
      </c>
      <c r="H575" s="10" t="n">
        <f aca="false">IF(B575="res",INDEX(Library!$R$5:$R$34,$U$567),0)</f>
        <v>0</v>
      </c>
      <c r="I575" s="11" t="n">
        <f aca="false">IF(B575="mass",SQRT(E575*($B$2*3600)/(PI()*F575*G575)),0)</f>
        <v>0</v>
      </c>
      <c r="J575" s="10" t="n">
        <f aca="false">IF(B575="mass",D575/I575,0)</f>
        <v>0</v>
      </c>
      <c r="K575" s="7" t="str">
        <f aca="false">IF(B575="mass",COMPLEX(COSH(J575)*COS(J575),SINH(J575)*SIN(J575)),COMPLEX(1,0))</f>
        <v>1</v>
      </c>
      <c r="L575" s="7" t="str">
        <f aca="false">IF(B575="mass",COMPLEX(-I575/(2*E575)*(SINH(J575)*COS(J575)+COSH(J575)*SIN(J575)),-I575/(2*E575)*(COSH(J575)*SIN(J575)-SINH(J575)*COS(J575))),COMPLEX(-H575,0))</f>
        <v>-0</v>
      </c>
      <c r="M575" s="7" t="str">
        <f aca="false">IF(B575="mass",COMPLEX(-E575/I575*(SINH(J575)*COS(J575)-COSH(J575)*SIN(J575)),-E575/I575*(SINH(J575)*COS(J575)+COSH(J575)*SIN(J575))),COMPLEX(0,0))</f>
        <v>0</v>
      </c>
      <c r="N575" s="7" t="str">
        <f aca="false">K575</f>
        <v>1</v>
      </c>
      <c r="O575" s="7" t="str">
        <f aca="false">IMSUM(IMPRODUCT(K575,O574),IMPRODUCT(L575,Q574))</f>
        <v>-91.0643168118663+119.834577178472i</v>
      </c>
      <c r="P575" s="7" t="str">
        <f aca="false">IMSUM(IMPRODUCT(K575,P574),IMPRODUCT(L575,R574))</f>
        <v>12.7733466518299-27.1043894246602i</v>
      </c>
      <c r="Q575" s="7" t="str">
        <f aca="false">IMSUM(IMPRODUCT(M575,O574),IMPRODUCT(N575,Q574))</f>
        <v>32.6061662120123-12.8794541554146i</v>
      </c>
      <c r="R575" s="7" t="str">
        <f aca="false">IMSUM(IMPRODUCT(M575,P574),IMPRODUCT(N575,R574))</f>
        <v>-5.82038881380126+3.85222378022769i</v>
      </c>
      <c r="S575" s="10" t="n">
        <f aca="false">IF(B575="mass",D575/E575,H575)</f>
        <v>0</v>
      </c>
      <c r="T575" s="12" t="n">
        <f aca="false">IF(B575="mass",F575*G575*D575,0)</f>
        <v>0</v>
      </c>
    </row>
    <row r="576" customFormat="false" ht="15" hidden="false" customHeight="false" outlineLevel="0" collapsed="false">
      <c r="A576" s="7" t="s">
        <v>49</v>
      </c>
      <c r="B576" s="7" t="str">
        <f aca="false">IF(C576="","none",IF(C576="Cavity","res","mass"))</f>
        <v>none</v>
      </c>
      <c r="C576" s="7" t="str">
        <f aca="false">IF(INDEX(Library!$S$5:$S$34,$U$567)="","",INDEX(Library!$S$5:$S$34,$U$567))</f>
        <v/>
      </c>
      <c r="D576" s="11" t="n">
        <f aca="false">IF(B576="mass",INDEX(Library!$T$5:$T$34,$U$567)/1000,0)</f>
        <v>0</v>
      </c>
      <c r="E576" s="7" t="n">
        <f aca="false">IF(B576="mass",INDEX(Materials!$B$5:$B$28,MATCH(C576,Materials!$A$5:$A$28,0)),0)</f>
        <v>0</v>
      </c>
      <c r="F576" s="7" t="n">
        <f aca="false">IF(B576="mass",INDEX(Materials!$C$5:$C$28,MATCH(C576,Materials!$A$5:$A$28,0)),0)</f>
        <v>0</v>
      </c>
      <c r="G576" s="7" t="n">
        <f aca="false">IF(B576="mass",INDEX(Materials!$D$5:$D$28,MATCH(C576,Materials!$A$5:$A$28,0)),0)</f>
        <v>0</v>
      </c>
      <c r="H576" s="10" t="n">
        <f aca="false">IF(B576="res",INDEX(Library!$T$5:$T$34,$U$567),0)</f>
        <v>0</v>
      </c>
      <c r="I576" s="11" t="n">
        <f aca="false">IF(B576="mass",SQRT(E576*($B$2*3600)/(PI()*F576*G576)),0)</f>
        <v>0</v>
      </c>
      <c r="J576" s="10" t="n">
        <f aca="false">IF(B576="mass",D576/I576,0)</f>
        <v>0</v>
      </c>
      <c r="K576" s="7" t="str">
        <f aca="false">IF(B576="mass",COMPLEX(COSH(J576)*COS(J576),SINH(J576)*SIN(J576)),COMPLEX(1,0))</f>
        <v>1</v>
      </c>
      <c r="L576" s="7" t="str">
        <f aca="false">IF(B576="mass",COMPLEX(-I576/(2*E576)*(SINH(J576)*COS(J576)+COSH(J576)*SIN(J576)),-I576/(2*E576)*(COSH(J576)*SIN(J576)-SINH(J576)*COS(J576))),COMPLEX(-H576,0))</f>
        <v>-0</v>
      </c>
      <c r="M576" s="7" t="str">
        <f aca="false">IF(B576="mass",COMPLEX(-E576/I576*(SINH(J576)*COS(J576)-COSH(J576)*SIN(J576)),-E576/I576*(SINH(J576)*COS(J576)+COSH(J576)*SIN(J576))),COMPLEX(0,0))</f>
        <v>0</v>
      </c>
      <c r="N576" s="7" t="str">
        <f aca="false">K576</f>
        <v>1</v>
      </c>
      <c r="O576" s="7" t="str">
        <f aca="false">IMSUM(IMPRODUCT(K576,O575),IMPRODUCT(L576,Q575))</f>
        <v>-91.0643168118663+119.834577178472i</v>
      </c>
      <c r="P576" s="7" t="str">
        <f aca="false">IMSUM(IMPRODUCT(K576,P575),IMPRODUCT(L576,R575))</f>
        <v>12.7733466518299-27.1043894246602i</v>
      </c>
      <c r="Q576" s="7" t="str">
        <f aca="false">IMSUM(IMPRODUCT(M576,O575),IMPRODUCT(N576,Q575))</f>
        <v>32.6061662120123-12.8794541554146i</v>
      </c>
      <c r="R576" s="7" t="str">
        <f aca="false">IMSUM(IMPRODUCT(M576,P575),IMPRODUCT(N576,R575))</f>
        <v>-5.82038881380126+3.85222378022769i</v>
      </c>
      <c r="S576" s="10" t="n">
        <f aca="false">IF(B576="mass",D576/E576,H576)</f>
        <v>0</v>
      </c>
      <c r="T576" s="12" t="n">
        <f aca="false">IF(B576="mass",F576*G576*D576,0)</f>
        <v>0</v>
      </c>
    </row>
    <row r="577" customFormat="false" ht="15" hidden="false" customHeight="false" outlineLevel="0" collapsed="false">
      <c r="A577" s="7" t="s">
        <v>50</v>
      </c>
      <c r="B577" s="7" t="str">
        <f aca="false">IF(C577="","none",IF(C577="Cavity","res","mass"))</f>
        <v>none</v>
      </c>
      <c r="C577" s="7" t="str">
        <f aca="false">IF(INDEX(Library!$U$5:$U$34,$U$567)="","",INDEX(Library!$U$5:$U$34,$U$567))</f>
        <v/>
      </c>
      <c r="D577" s="11" t="n">
        <f aca="false">IF(B577="mass",INDEX(Library!$V$5:$V$34,$U$567)/1000,0)</f>
        <v>0</v>
      </c>
      <c r="E577" s="7" t="n">
        <f aca="false">IF(B577="mass",INDEX(Materials!$B$5:$B$28,MATCH(C577,Materials!$A$5:$A$28,0)),0)</f>
        <v>0</v>
      </c>
      <c r="F577" s="7" t="n">
        <f aca="false">IF(B577="mass",INDEX(Materials!$C$5:$C$28,MATCH(C577,Materials!$A$5:$A$28,0)),0)</f>
        <v>0</v>
      </c>
      <c r="G577" s="7" t="n">
        <f aca="false">IF(B577="mass",INDEX(Materials!$D$5:$D$28,MATCH(C577,Materials!$A$5:$A$28,0)),0)</f>
        <v>0</v>
      </c>
      <c r="H577" s="10" t="n">
        <f aca="false">IF(B577="res",INDEX(Library!$V$5:$V$34,$U$567),0)</f>
        <v>0</v>
      </c>
      <c r="I577" s="11" t="n">
        <f aca="false">IF(B577="mass",SQRT(E577*($B$2*3600)/(PI()*F577*G577)),0)</f>
        <v>0</v>
      </c>
      <c r="J577" s="10" t="n">
        <f aca="false">IF(B577="mass",D577/I577,0)</f>
        <v>0</v>
      </c>
      <c r="K577" s="7" t="str">
        <f aca="false">IF(B577="mass",COMPLEX(COSH(J577)*COS(J577),SINH(J577)*SIN(J577)),COMPLEX(1,0))</f>
        <v>1</v>
      </c>
      <c r="L577" s="7" t="str">
        <f aca="false">IF(B577="mass",COMPLEX(-I577/(2*E577)*(SINH(J577)*COS(J577)+COSH(J577)*SIN(J577)),-I577/(2*E577)*(COSH(J577)*SIN(J577)-SINH(J577)*COS(J577))),COMPLEX(-H577,0))</f>
        <v>-0</v>
      </c>
      <c r="M577" s="7" t="str">
        <f aca="false">IF(B577="mass",COMPLEX(-E577/I577*(SINH(J577)*COS(J577)-COSH(J577)*SIN(J577)),-E577/I577*(SINH(J577)*COS(J577)+COSH(J577)*SIN(J577))),COMPLEX(0,0))</f>
        <v>0</v>
      </c>
      <c r="N577" s="7" t="str">
        <f aca="false">K577</f>
        <v>1</v>
      </c>
      <c r="O577" s="7" t="str">
        <f aca="false">IMSUM(IMPRODUCT(K577,O576),IMPRODUCT(L577,Q576))</f>
        <v>-91.0643168118663+119.834577178472i</v>
      </c>
      <c r="P577" s="7" t="str">
        <f aca="false">IMSUM(IMPRODUCT(K577,P576),IMPRODUCT(L577,R576))</f>
        <v>12.7733466518299-27.1043894246602i</v>
      </c>
      <c r="Q577" s="7" t="str">
        <f aca="false">IMSUM(IMPRODUCT(M577,O576),IMPRODUCT(N577,Q576))</f>
        <v>32.6061662120123-12.8794541554146i</v>
      </c>
      <c r="R577" s="7" t="str">
        <f aca="false">IMSUM(IMPRODUCT(M577,P576),IMPRODUCT(N577,R576))</f>
        <v>-5.82038881380126+3.85222378022769i</v>
      </c>
      <c r="S577" s="10" t="n">
        <f aca="false">IF(B577="mass",D577/E577,H577)</f>
        <v>0</v>
      </c>
      <c r="T577" s="12" t="n">
        <f aca="false">IF(B577="mass",F577*G577*D577,0)</f>
        <v>0</v>
      </c>
    </row>
    <row r="578" customFormat="false" ht="15" hidden="false" customHeight="false" outlineLevel="0" collapsed="false">
      <c r="A578" s="7" t="s">
        <v>51</v>
      </c>
      <c r="B578" s="7" t="str">
        <f aca="false">IF($W$567="ground","mass",IF($W$567="adiabatic","res","none"))</f>
        <v>mass</v>
      </c>
      <c r="C578" s="7" t="str">
        <f aca="false">IF($W$567="ground","clay soil","")</f>
        <v>clay soil</v>
      </c>
      <c r="D578" s="11" t="n">
        <f aca="false">IF(B578="mass",1,0)</f>
        <v>1</v>
      </c>
      <c r="E578" s="7" t="n">
        <f aca="false">IF(B578="mass",INDEX(Materials!$B$5:$B$28,MATCH(C578,Materials!$A$5:$A$28,0)),0)</f>
        <v>1.5</v>
      </c>
      <c r="F578" s="7" t="n">
        <f aca="false">IF(B578="mass",INDEX(Materials!$C$5:$C$28,MATCH(C578,Materials!$A$5:$A$28,0)),0)</f>
        <v>1500</v>
      </c>
      <c r="G578" s="7" t="n">
        <f aca="false">IF(B578="mass",INDEX(Materials!$D$5:$D$28,MATCH(C578,Materials!$A$5:$A$28,0)),0)</f>
        <v>2000</v>
      </c>
      <c r="H578" s="12" t="n">
        <f aca="false">IF(B578="res",1000000,0)</f>
        <v>0</v>
      </c>
      <c r="I578" s="11" t="n">
        <f aca="false">IF(B578="mass",SQRT(E578*($B$2*3600)/(PI()*F578*G578)),0)</f>
        <v>0.117264602856701</v>
      </c>
      <c r="J578" s="10" t="n">
        <f aca="false">IF(B578="mass",D578/I578,0)</f>
        <v>8.52772256622074</v>
      </c>
      <c r="K578" s="7" t="str">
        <f aca="false">IF(B578="mass",COMPLEX(COSH(J578)*COS(J578),SINH(J578)*SIN(J578)),COMPLEX(1,0))</f>
        <v>-1576.2950348935+1974.41299212316i</v>
      </c>
      <c r="L578" s="7" t="str">
        <f aca="false">IF(B578="mass",COMPLEX(-I578/(2*E578)*(SINH(J578)*COS(J578)+COSH(J578)*SIN(J578)),-I578/(2*E578)*(COSH(J578)*SIN(J578)-SINH(J578)*COS(J578))),COMPLEX(-H578,0))</f>
        <v>-15.5617255867729-138.790790101731i</v>
      </c>
      <c r="M578" s="7" t="str">
        <f aca="false">IF(B578="mass",COMPLEX(-E578/I578*(SINH(J578)*COS(J578)-COSH(J578)*SIN(J578)),-E578/I578*(SINH(J578)*COS(J578)+COSH(J578)*SIN(J578))),COMPLEX(0,0))</f>
        <v>45419.1798509919-5092.56278964437i</v>
      </c>
      <c r="N578" s="7" t="str">
        <f aca="false">K578</f>
        <v>-1576.2950348935+1974.41299212316i</v>
      </c>
      <c r="O578" s="7" t="str">
        <f aca="false">IMSUM(IMPRODUCT(K578,O577),IMPRODUCT(L578,Q577))</f>
        <v>-95353.6734695842-373018.228286636i</v>
      </c>
      <c r="P578" s="7" t="str">
        <f aca="false">IMSUM(IMPRODUCT(K578,P577),IMPRODUCT(L578,R577))</f>
        <v>34005.9241929969+68692.2451689776i</v>
      </c>
      <c r="Q578" s="7" t="str">
        <f aca="false">IMSUM(IMPRODUCT(M578,O577),IMPRODUCT(N578,Q577))</f>
        <v>-3551769.05092501+5991218.82232673i</v>
      </c>
      <c r="R578" s="7" t="str">
        <f aca="false">IMSUM(IMPRODUCT(M578,P577),IMPRODUCT(N578,R577))</f>
        <v>443692.89316657-1313672.30039955i</v>
      </c>
      <c r="S578" s="10" t="n">
        <f aca="false">IF(B578="mass",D578/E578,H578)</f>
        <v>0.666666666666667</v>
      </c>
      <c r="T578" s="12" t="n">
        <f aca="false">IF(B578="mass",F578*G578*D578,0)</f>
        <v>3000000</v>
      </c>
    </row>
    <row r="579" customFormat="false" ht="15" hidden="false" customHeight="false" outlineLevel="0" collapsed="false">
      <c r="A579" s="7" t="s">
        <v>52</v>
      </c>
      <c r="B579" s="7" t="s">
        <v>42</v>
      </c>
      <c r="H579" s="10" t="n">
        <f aca="false">IF($W$567="ext",0.04,IF($W$567="room",$Y$567,0))</f>
        <v>0</v>
      </c>
      <c r="I579" s="11" t="n">
        <f aca="false">IF(B579="mass",SQRT(E579*($B$2*3600)/(PI()*F579*G579)),0)</f>
        <v>0</v>
      </c>
      <c r="J579" s="10" t="n">
        <f aca="false">IF(B579="mass",D579/I579,0)</f>
        <v>0</v>
      </c>
      <c r="K579" s="7" t="str">
        <f aca="false">IF(B579="mass",COMPLEX(COSH(J579)*COS(J579),SINH(J579)*SIN(J579)),COMPLEX(1,0))</f>
        <v>1</v>
      </c>
      <c r="L579" s="7" t="str">
        <f aca="false">IF(B579="mass",COMPLEX(-I579/(2*E579)*(SINH(J579)*COS(J579)+COSH(J579)*SIN(J579)),-I579/(2*E579)*(COSH(J579)*SIN(J579)-SINH(J579)*COS(J579))),COMPLEX(-H579,0))</f>
        <v>-0</v>
      </c>
      <c r="M579" s="7" t="str">
        <f aca="false">IF(B579="mass",COMPLEX(-E579/I579*(SINH(J579)*COS(J579)-COSH(J579)*SIN(J579)),-E579/I579*(SINH(J579)*COS(J579)+COSH(J579)*SIN(J579))),COMPLEX(0,0))</f>
        <v>0</v>
      </c>
      <c r="N579" s="7" t="str">
        <f aca="false">K579</f>
        <v>1</v>
      </c>
      <c r="O579" s="7" t="str">
        <f aca="false">IMSUM(IMPRODUCT(K579,O578),IMPRODUCT(L579,Q578))</f>
        <v>-95353.6734695842-373018.228286636i</v>
      </c>
      <c r="P579" s="7" t="str">
        <f aca="false">IMSUM(IMPRODUCT(K579,P578),IMPRODUCT(L579,R578))</f>
        <v>34005.9241929969+68692.2451689776i</v>
      </c>
      <c r="Q579" s="7" t="str">
        <f aca="false">IMSUM(IMPRODUCT(M579,O578),IMPRODUCT(N579,Q578))</f>
        <v>-3551769.05092501+5991218.82232673i</v>
      </c>
      <c r="R579" s="7" t="str">
        <f aca="false">IMSUM(IMPRODUCT(M579,P578),IMPRODUCT(N579,R578))</f>
        <v>443692.89316657-1313672.30039955i</v>
      </c>
      <c r="S579" s="10" t="n">
        <f aca="false">IF(B579="mass",D579/E579,H579)</f>
        <v>0</v>
      </c>
      <c r="T579" s="12" t="n">
        <f aca="false">IF(B579="mass",F579*G579*D579,0)</f>
        <v>0</v>
      </c>
    </row>
    <row r="580" customFormat="false" ht="15" hidden="false" customHeight="false" outlineLevel="0" collapsed="false">
      <c r="A580" s="9" t="s">
        <v>53</v>
      </c>
      <c r="B580" s="13" t="n">
        <f aca="false">IF(OR($W$567="ext",$W$567="ground"),1/SUM(S569:S579),"–")</f>
        <v>0.157079277435324</v>
      </c>
      <c r="C580" s="9" t="s">
        <v>54</v>
      </c>
      <c r="D580" s="13" t="n">
        <f aca="false">IMABS(IMDIV(IMPRODUCT(O579,COMPLEX(-1,0)),P579))</f>
        <v>5.02308254376222</v>
      </c>
      <c r="E580" s="9" t="s">
        <v>55</v>
      </c>
      <c r="F580" s="14" t="n">
        <f aca="false">IMARGUMENT(IMDIV(IMPRODUCT(O579,COMPLEX(-1,0)),P579))*$B$2/(2*PI())</f>
        <v>0.79988649390316</v>
      </c>
      <c r="G580" s="9" t="s">
        <v>56</v>
      </c>
      <c r="H580" s="13" t="str">
        <f aca="false">IF($W$567="ext",IMABS(IMDIV(COMPLEX(-1,0),P579))*SUM(S569:S579),"–")</f>
        <v>–</v>
      </c>
      <c r="I580" s="9" t="s">
        <v>57</v>
      </c>
      <c r="J580" s="14" t="str">
        <f aca="false">IF($W$567="ext",MOD(-IMARGUMENT(IMDIV(COMPLEX(-1,0),P579))*$B$2/(2*PI()),24),"–")</f>
        <v>–</v>
      </c>
      <c r="K580" s="9" t="s">
        <v>58</v>
      </c>
      <c r="L580" s="15" t="n">
        <f aca="false">($B$2*3600)/(2*PI())*IMABS(IMDIV(IMSUB(O579,COMPLEX(1,0)),P579))/1000</f>
        <v>69.0723876085495</v>
      </c>
      <c r="M580" s="9" t="s">
        <v>59</v>
      </c>
      <c r="N580" s="15" t="n">
        <f aca="false">SUM(T570:T577)/1000</f>
        <v>365.04</v>
      </c>
      <c r="O580" s="9" t="s">
        <v>60</v>
      </c>
      <c r="P580" s="16" t="n">
        <f aca="false">SUM(S570:S577)</f>
        <v>5.52954545454546</v>
      </c>
    </row>
    <row r="582" customFormat="false" ht="15" hidden="false" customHeight="false" outlineLevel="0" collapsed="false">
      <c r="A582" s="4" t="s">
        <v>125</v>
      </c>
    </row>
    <row r="583" customFormat="false" ht="15" hidden="false" customHeight="false" outlineLevel="0" collapsed="false">
      <c r="A583" s="9"/>
      <c r="B583" s="9" t="s">
        <v>62</v>
      </c>
      <c r="C583" s="9" t="s">
        <v>63</v>
      </c>
      <c r="D583" s="9"/>
      <c r="E583" s="9"/>
      <c r="F583" s="9"/>
      <c r="G583" s="9"/>
      <c r="H583" s="9"/>
      <c r="I583" s="9"/>
      <c r="J583" s="9"/>
      <c r="K583" s="9" t="s">
        <v>32</v>
      </c>
      <c r="L583" s="9" t="s">
        <v>33</v>
      </c>
      <c r="M583" s="9" t="s">
        <v>34</v>
      </c>
      <c r="N583" s="9" t="s">
        <v>35</v>
      </c>
      <c r="O583" s="9" t="s">
        <v>36</v>
      </c>
      <c r="P583" s="9" t="s">
        <v>37</v>
      </c>
      <c r="Q583" s="9" t="s">
        <v>38</v>
      </c>
      <c r="R583" s="9" t="s">
        <v>39</v>
      </c>
    </row>
    <row r="584" customFormat="false" ht="15" hidden="false" customHeight="false" outlineLevel="0" collapsed="false">
      <c r="A584" s="7" t="s">
        <v>22</v>
      </c>
      <c r="B584" s="7" t="s">
        <v>42</v>
      </c>
      <c r="C584" s="10" t="n">
        <f aca="false">$Y$567</f>
        <v>0.17</v>
      </c>
      <c r="K584" s="7" t="str">
        <f aca="false">COMPLEX(1,0)</f>
        <v>1</v>
      </c>
      <c r="L584" s="7" t="str">
        <f aca="false">COMPLEX(-C584,0)</f>
        <v>-0.17</v>
      </c>
      <c r="M584" s="7" t="str">
        <f aca="false">COMPLEX(0,0)</f>
        <v>0</v>
      </c>
      <c r="N584" s="7" t="str">
        <f aca="false">COMPLEX(1,0)</f>
        <v>1</v>
      </c>
      <c r="O584" s="7" t="str">
        <f aca="false">K584</f>
        <v>1</v>
      </c>
      <c r="P584" s="7" t="str">
        <f aca="false">L584</f>
        <v>-0.17</v>
      </c>
      <c r="Q584" s="7" t="str">
        <f aca="false">M584</f>
        <v>0</v>
      </c>
      <c r="R584" s="7" t="str">
        <f aca="false">N584</f>
        <v>1</v>
      </c>
    </row>
    <row r="585" customFormat="false" ht="15" hidden="false" customHeight="false" outlineLevel="0" collapsed="false">
      <c r="A585" s="7" t="s">
        <v>64</v>
      </c>
      <c r="B585" s="7" t="s">
        <v>65</v>
      </c>
      <c r="C585" s="10" t="n">
        <f aca="false">INDEX(Classes!$B$5:$F$9,MATCH(Engine!$C$566,Classes!$A$5:$A$9,0),5)*(N580*1000)</f>
        <v>365040</v>
      </c>
      <c r="K585" s="7" t="str">
        <f aca="false">COMPLEX(1,0)</f>
        <v>1</v>
      </c>
      <c r="L585" s="7" t="str">
        <f aca="false">COMPLEX(0,0)</f>
        <v>0</v>
      </c>
      <c r="M585" s="7" t="str">
        <f aca="false">COMPLEX(0,-(2*PI()/($B$2*3600))*C585)</f>
        <v>-26.5464579228338i</v>
      </c>
      <c r="N585" s="7" t="str">
        <f aca="false">COMPLEX(1,0)</f>
        <v>1</v>
      </c>
      <c r="O585" s="7" t="str">
        <f aca="false">IMSUM(IMPRODUCT(K585,O584),IMPRODUCT(L585,Q584))</f>
        <v>1</v>
      </c>
      <c r="P585" s="7" t="str">
        <f aca="false">IMSUM(IMPRODUCT(K585,P584),IMPRODUCT(L585,R584))</f>
        <v>-0.17</v>
      </c>
      <c r="Q585" s="7" t="str">
        <f aca="false">IMSUM(IMPRODUCT(M585,O584),IMPRODUCT(N585,Q584))</f>
        <v>-26.5464579228338i</v>
      </c>
      <c r="R585" s="7" t="str">
        <f aca="false">IMSUM(IMPRODUCT(M585,P584),IMPRODUCT(N585,R584))</f>
        <v>1+4.51289784688175i</v>
      </c>
    </row>
    <row r="586" customFormat="false" ht="15" hidden="false" customHeight="false" outlineLevel="0" collapsed="false">
      <c r="A586" s="7" t="s">
        <v>66</v>
      </c>
      <c r="B586" s="7" t="s">
        <v>42</v>
      </c>
      <c r="C586" s="10" t="n">
        <f aca="false">P580/6</f>
        <v>0.921590909090909</v>
      </c>
      <c r="K586" s="7" t="str">
        <f aca="false">COMPLEX(1,0)</f>
        <v>1</v>
      </c>
      <c r="L586" s="7" t="str">
        <f aca="false">COMPLEX(-C586,0)</f>
        <v>-0.921590909090909</v>
      </c>
      <c r="M586" s="7" t="str">
        <f aca="false">COMPLEX(0,0)</f>
        <v>0</v>
      </c>
      <c r="N586" s="7" t="str">
        <f aca="false">COMPLEX(1,0)</f>
        <v>1</v>
      </c>
      <c r="O586" s="7" t="str">
        <f aca="false">IMSUM(IMPRODUCT(K586,O585),IMPRODUCT(L586,Q585))</f>
        <v>1+24.464974290248i</v>
      </c>
      <c r="P586" s="7" t="str">
        <f aca="false">IMSUM(IMPRODUCT(K586,P585),IMPRODUCT(L586,R585))</f>
        <v>-1.09159090909091-4.15904562934216i</v>
      </c>
      <c r="Q586" s="7" t="str">
        <f aca="false">IMSUM(IMPRODUCT(M586,O585),IMPRODUCT(N586,Q585))</f>
        <v>-26.5464579228338i</v>
      </c>
      <c r="R586" s="7" t="str">
        <f aca="false">IMSUM(IMPRODUCT(M586,P585),IMPRODUCT(N586,R585))</f>
        <v>1+4.51289784688175i</v>
      </c>
    </row>
    <row r="587" customFormat="false" ht="15" hidden="false" customHeight="false" outlineLevel="0" collapsed="false">
      <c r="A587" s="7" t="s">
        <v>67</v>
      </c>
      <c r="B587" s="7" t="s">
        <v>65</v>
      </c>
      <c r="C587" s="10" t="n">
        <f aca="false">INDEX(Classes!$B$5:$F$9,MATCH(Engine!$C$566,Classes!$A$5:$A$9,0),4)*(N580*1000)</f>
        <v>0</v>
      </c>
      <c r="K587" s="7" t="str">
        <f aca="false">COMPLEX(1,0)</f>
        <v>1</v>
      </c>
      <c r="L587" s="7" t="str">
        <f aca="false">COMPLEX(0,0)</f>
        <v>0</v>
      </c>
      <c r="M587" s="7" t="str">
        <f aca="false">COMPLEX(0,-(2*PI()/($B$2*3600))*C587)</f>
        <v>0</v>
      </c>
      <c r="N587" s="7" t="str">
        <f aca="false">COMPLEX(1,0)</f>
        <v>1</v>
      </c>
      <c r="O587" s="7" t="str">
        <f aca="false">IMSUM(IMPRODUCT(K587,O586),IMPRODUCT(L587,Q586))</f>
        <v>1+24.464974290248i</v>
      </c>
      <c r="P587" s="7" t="str">
        <f aca="false">IMSUM(IMPRODUCT(K587,P586),IMPRODUCT(L587,R586))</f>
        <v>-1.09159090909091-4.15904562934216i</v>
      </c>
      <c r="Q587" s="7" t="str">
        <f aca="false">IMSUM(IMPRODUCT(M587,O586),IMPRODUCT(N587,Q586))</f>
        <v>-26.5464579228338i</v>
      </c>
      <c r="R587" s="7" t="str">
        <f aca="false">IMSUM(IMPRODUCT(M587,P586),IMPRODUCT(N587,R586))</f>
        <v>1+4.51289784688175i</v>
      </c>
    </row>
    <row r="588" customFormat="false" ht="15" hidden="false" customHeight="false" outlineLevel="0" collapsed="false">
      <c r="A588" s="7" t="s">
        <v>68</v>
      </c>
      <c r="B588" s="7" t="s">
        <v>42</v>
      </c>
      <c r="C588" s="10" t="n">
        <f aca="false">P580/3</f>
        <v>1.84318181818182</v>
      </c>
      <c r="K588" s="7" t="str">
        <f aca="false">COMPLEX(1,0)</f>
        <v>1</v>
      </c>
      <c r="L588" s="7" t="str">
        <f aca="false">COMPLEX(-C588,0)</f>
        <v>-1.84318181818182</v>
      </c>
      <c r="M588" s="7" t="str">
        <f aca="false">COMPLEX(0,0)</f>
        <v>0</v>
      </c>
      <c r="N588" s="7" t="str">
        <f aca="false">COMPLEX(1,0)</f>
        <v>1</v>
      </c>
      <c r="O588" s="7" t="str">
        <f aca="false">IMSUM(IMPRODUCT(K588,O587),IMPRODUCT(L588,Q587))</f>
        <v>1+73.394922870744i</v>
      </c>
      <c r="P588" s="7" t="str">
        <f aca="false">IMSUM(IMPRODUCT(K588,P587),IMPRODUCT(L588,R587))</f>
        <v>-2.93477272727273-12.4771368880265i</v>
      </c>
      <c r="Q588" s="7" t="str">
        <f aca="false">IMSUM(IMPRODUCT(M588,O587),IMPRODUCT(N588,Q587))</f>
        <v>-26.5464579228338i</v>
      </c>
      <c r="R588" s="7" t="str">
        <f aca="false">IMSUM(IMPRODUCT(M588,P587),IMPRODUCT(N588,R587))</f>
        <v>1+4.51289784688175i</v>
      </c>
    </row>
    <row r="589" customFormat="false" ht="15" hidden="false" customHeight="false" outlineLevel="0" collapsed="false">
      <c r="A589" s="7" t="s">
        <v>69</v>
      </c>
      <c r="B589" s="7" t="s">
        <v>65</v>
      </c>
      <c r="C589" s="10" t="n">
        <f aca="false">INDEX(Classes!$B$5:$F$9,MATCH(Engine!$C$566,Classes!$A$5:$A$9,0),3)*(N580*1000)</f>
        <v>0</v>
      </c>
      <c r="K589" s="7" t="str">
        <f aca="false">COMPLEX(1,0)</f>
        <v>1</v>
      </c>
      <c r="L589" s="7" t="str">
        <f aca="false">COMPLEX(0,0)</f>
        <v>0</v>
      </c>
      <c r="M589" s="7" t="str">
        <f aca="false">COMPLEX(0,-(2*PI()/($B$2*3600))*C589)</f>
        <v>0</v>
      </c>
      <c r="N589" s="7" t="str">
        <f aca="false">COMPLEX(1,0)</f>
        <v>1</v>
      </c>
      <c r="O589" s="7" t="str">
        <f aca="false">IMSUM(IMPRODUCT(K589,O588),IMPRODUCT(L589,Q588))</f>
        <v>1+73.394922870744i</v>
      </c>
      <c r="P589" s="7" t="str">
        <f aca="false">IMSUM(IMPRODUCT(K589,P588),IMPRODUCT(L589,R588))</f>
        <v>-2.93477272727273-12.4771368880265i</v>
      </c>
      <c r="Q589" s="7" t="str">
        <f aca="false">IMSUM(IMPRODUCT(M589,O588),IMPRODUCT(N589,Q588))</f>
        <v>-26.5464579228338i</v>
      </c>
      <c r="R589" s="7" t="str">
        <f aca="false">IMSUM(IMPRODUCT(M589,P588),IMPRODUCT(N589,R588))</f>
        <v>1+4.51289784688175i</v>
      </c>
    </row>
    <row r="590" customFormat="false" ht="15" hidden="false" customHeight="false" outlineLevel="0" collapsed="false">
      <c r="A590" s="7" t="s">
        <v>68</v>
      </c>
      <c r="B590" s="7" t="s">
        <v>42</v>
      </c>
      <c r="C590" s="10" t="n">
        <f aca="false">P580/3</f>
        <v>1.84318181818182</v>
      </c>
      <c r="K590" s="7" t="str">
        <f aca="false">COMPLEX(1,0)</f>
        <v>1</v>
      </c>
      <c r="L590" s="7" t="str">
        <f aca="false">COMPLEX(-C590,0)</f>
        <v>-1.84318181818182</v>
      </c>
      <c r="M590" s="7" t="str">
        <f aca="false">COMPLEX(0,0)</f>
        <v>0</v>
      </c>
      <c r="N590" s="7" t="str">
        <f aca="false">COMPLEX(1,0)</f>
        <v>1</v>
      </c>
      <c r="O590" s="7" t="str">
        <f aca="false">IMSUM(IMPRODUCT(K590,O589),IMPRODUCT(L590,Q589))</f>
        <v>1+122.32487145124i</v>
      </c>
      <c r="P590" s="7" t="str">
        <f aca="false">IMSUM(IMPRODUCT(K590,P589),IMPRODUCT(L590,R589))</f>
        <v>-4.77795454545455-20.7952281467108i</v>
      </c>
      <c r="Q590" s="7" t="str">
        <f aca="false">IMSUM(IMPRODUCT(M590,O589),IMPRODUCT(N590,Q589))</f>
        <v>-26.5464579228338i</v>
      </c>
      <c r="R590" s="7" t="str">
        <f aca="false">IMSUM(IMPRODUCT(M590,P589),IMPRODUCT(N590,R589))</f>
        <v>1+4.51289784688175i</v>
      </c>
    </row>
    <row r="591" customFormat="false" ht="15" hidden="false" customHeight="false" outlineLevel="0" collapsed="false">
      <c r="A591" s="7" t="s">
        <v>70</v>
      </c>
      <c r="B591" s="7" t="s">
        <v>65</v>
      </c>
      <c r="C591" s="10" t="n">
        <f aca="false">INDEX(Classes!$B$5:$F$9,MATCH(Engine!$C$566,Classes!$A$5:$A$9,0),2)*(N580*1000)</f>
        <v>0</v>
      </c>
      <c r="K591" s="7" t="str">
        <f aca="false">COMPLEX(1,0)</f>
        <v>1</v>
      </c>
      <c r="L591" s="7" t="str">
        <f aca="false">COMPLEX(0,0)</f>
        <v>0</v>
      </c>
      <c r="M591" s="7" t="str">
        <f aca="false">COMPLEX(0,-(2*PI()/($B$2*3600))*C591)</f>
        <v>0</v>
      </c>
      <c r="N591" s="7" t="str">
        <f aca="false">COMPLEX(1,0)</f>
        <v>1</v>
      </c>
      <c r="O591" s="7" t="str">
        <f aca="false">IMSUM(IMPRODUCT(K591,O590),IMPRODUCT(L591,Q590))</f>
        <v>1+122.32487145124i</v>
      </c>
      <c r="P591" s="7" t="str">
        <f aca="false">IMSUM(IMPRODUCT(K591,P590),IMPRODUCT(L591,R590))</f>
        <v>-4.77795454545455-20.7952281467108i</v>
      </c>
      <c r="Q591" s="7" t="str">
        <f aca="false">IMSUM(IMPRODUCT(M591,O590),IMPRODUCT(N591,Q590))</f>
        <v>-26.5464579228338i</v>
      </c>
      <c r="R591" s="7" t="str">
        <f aca="false">IMSUM(IMPRODUCT(M591,P590),IMPRODUCT(N591,R590))</f>
        <v>1+4.51289784688175i</v>
      </c>
    </row>
    <row r="592" customFormat="false" ht="15" hidden="false" customHeight="false" outlineLevel="0" collapsed="false">
      <c r="A592" s="7" t="s">
        <v>66</v>
      </c>
      <c r="B592" s="7" t="s">
        <v>42</v>
      </c>
      <c r="C592" s="10" t="n">
        <f aca="false">P580/6</f>
        <v>0.921590909090909</v>
      </c>
      <c r="K592" s="7" t="str">
        <f aca="false">COMPLEX(1,0)</f>
        <v>1</v>
      </c>
      <c r="L592" s="7" t="str">
        <f aca="false">COMPLEX(-C592,0)</f>
        <v>-0.921590909090909</v>
      </c>
      <c r="M592" s="7" t="str">
        <f aca="false">COMPLEX(0,0)</f>
        <v>0</v>
      </c>
      <c r="N592" s="7" t="str">
        <f aca="false">COMPLEX(1,0)</f>
        <v>1</v>
      </c>
      <c r="O592" s="7" t="str">
        <f aca="false">IMSUM(IMPRODUCT(K592,O591),IMPRODUCT(L592,Q591))</f>
        <v>1+146.789845741488i</v>
      </c>
      <c r="P592" s="7" t="str">
        <f aca="false">IMSUM(IMPRODUCT(K592,P591),IMPRODUCT(L592,R591))</f>
        <v>-5.69954545454546-24.954273776053i</v>
      </c>
      <c r="Q592" s="7" t="str">
        <f aca="false">IMSUM(IMPRODUCT(M592,O591),IMPRODUCT(N592,Q591))</f>
        <v>-26.5464579228338i</v>
      </c>
      <c r="R592" s="7" t="str">
        <f aca="false">IMSUM(IMPRODUCT(M592,P591),IMPRODUCT(N592,R591))</f>
        <v>1+4.51289784688175i</v>
      </c>
    </row>
    <row r="593" customFormat="false" ht="15" hidden="false" customHeight="false" outlineLevel="0" collapsed="false">
      <c r="A593" s="7" t="s">
        <v>71</v>
      </c>
      <c r="B593" s="7" t="s">
        <v>65</v>
      </c>
      <c r="C593" s="10" t="n">
        <f aca="false">INDEX(Classes!$B$5:$F$9,MATCH(Engine!$C$566,Classes!$A$5:$A$9,0),1)*(N580*1000)</f>
        <v>0</v>
      </c>
      <c r="K593" s="7" t="str">
        <f aca="false">COMPLEX(1,0)</f>
        <v>1</v>
      </c>
      <c r="L593" s="7" t="str">
        <f aca="false">COMPLEX(0,0)</f>
        <v>0</v>
      </c>
      <c r="M593" s="7" t="str">
        <f aca="false">COMPLEX(0,-(2*PI()/($B$2*3600))*C593)</f>
        <v>0</v>
      </c>
      <c r="N593" s="7" t="str">
        <f aca="false">COMPLEX(1,0)</f>
        <v>1</v>
      </c>
      <c r="O593" s="7" t="str">
        <f aca="false">IMSUM(IMPRODUCT(K593,O592),IMPRODUCT(L593,Q592))</f>
        <v>1+146.789845741488i</v>
      </c>
      <c r="P593" s="7" t="str">
        <f aca="false">IMSUM(IMPRODUCT(K593,P592),IMPRODUCT(L593,R592))</f>
        <v>-5.69954545454546-24.954273776053i</v>
      </c>
      <c r="Q593" s="7" t="str">
        <f aca="false">IMSUM(IMPRODUCT(M593,O592),IMPRODUCT(N593,Q592))</f>
        <v>-26.5464579228338i</v>
      </c>
      <c r="R593" s="7" t="str">
        <f aca="false">IMSUM(IMPRODUCT(M593,P592),IMPRODUCT(N593,R592))</f>
        <v>1+4.51289784688175i</v>
      </c>
    </row>
    <row r="594" customFormat="false" ht="15" hidden="false" customHeight="false" outlineLevel="0" collapsed="false">
      <c r="A594" s="7" t="s">
        <v>72</v>
      </c>
      <c r="B594" s="7" t="s">
        <v>73</v>
      </c>
      <c r="K594" s="7" t="str">
        <f aca="false">K578</f>
        <v>-1576.2950348935+1974.41299212316i</v>
      </c>
      <c r="L594" s="7" t="str">
        <f aca="false">L578</f>
        <v>-15.5617255867729-138.790790101731i</v>
      </c>
      <c r="M594" s="7" t="str">
        <f aca="false">M578</f>
        <v>45419.1798509919-5092.56278964437i</v>
      </c>
      <c r="N594" s="7" t="str">
        <f aca="false">N578</f>
        <v>-1576.2950348935+1974.41299212316i</v>
      </c>
      <c r="O594" s="7" t="str">
        <f aca="false">IMSUM(IMPRODUCT(K594,O593),IMPRODUCT(L594,Q593))</f>
        <v>-295084.477448154-228996.583329471i</v>
      </c>
      <c r="P594" s="7" t="str">
        <f aca="false">IMSUM(IMPRODUCT(K594,P593),IMPRODUCT(L594,R593))</f>
        <v>58864.9944858174+27873.0219899184i</v>
      </c>
      <c r="Q594" s="7" t="str">
        <f aca="false">IMSUM(IMPRODUCT(M594,O593),IMPRODUCT(N594,Q593))</f>
        <v>845369.357589425+6703826.89106013i</v>
      </c>
      <c r="R594" s="7" t="str">
        <f aca="false">IMSUM(IMPRODUCT(M594,P593),IMPRODUCT(N594,R593))</f>
        <v>-396436.50531933-1109516.60106264i</v>
      </c>
    </row>
    <row r="595" customFormat="false" ht="15" hidden="false" customHeight="false" outlineLevel="0" collapsed="false">
      <c r="A595" s="7" t="s">
        <v>52</v>
      </c>
      <c r="B595" s="7" t="s">
        <v>73</v>
      </c>
      <c r="K595" s="7" t="str">
        <f aca="false">K579</f>
        <v>1</v>
      </c>
      <c r="L595" s="7" t="str">
        <f aca="false">L579</f>
        <v>-0</v>
      </c>
      <c r="M595" s="7" t="str">
        <f aca="false">M579</f>
        <v>0</v>
      </c>
      <c r="N595" s="7" t="str">
        <f aca="false">N579</f>
        <v>1</v>
      </c>
      <c r="O595" s="7" t="str">
        <f aca="false">IMSUM(IMPRODUCT(K595,O594),IMPRODUCT(L595,Q594))</f>
        <v>-295084.477448154-228996.583329471i</v>
      </c>
      <c r="P595" s="7" t="str">
        <f aca="false">IMSUM(IMPRODUCT(K595,P594),IMPRODUCT(L595,R594))</f>
        <v>58864.9944858174+27873.0219899184i</v>
      </c>
      <c r="Q595" s="7" t="str">
        <f aca="false">IMSUM(IMPRODUCT(M595,O594),IMPRODUCT(N595,Q594))</f>
        <v>845369.357589425+6703826.89106013i</v>
      </c>
      <c r="R595" s="7" t="str">
        <f aca="false">IMSUM(IMPRODUCT(M595,P594),IMPRODUCT(N595,R594))</f>
        <v>-396436.50531933-1109516.60106264i</v>
      </c>
    </row>
    <row r="596" customFormat="false" ht="15" hidden="false" customHeight="false" outlineLevel="0" collapsed="false">
      <c r="A596" s="9" t="s">
        <v>74</v>
      </c>
      <c r="B596" s="13" t="n">
        <f aca="false">IMABS(IMDIV(IMPRODUCT(O595,COMPLEX(-1,0)),P595))</f>
        <v>5.73488042518859</v>
      </c>
    </row>
    <row r="599" customFormat="false" ht="15" hidden="false" customHeight="false" outlineLevel="0" collapsed="false">
      <c r="A599" s="4" t="s">
        <v>126</v>
      </c>
      <c r="B599" s="9" t="s">
        <v>18</v>
      </c>
      <c r="C599" s="7" t="str">
        <f aca="false">INDEX(Library!$F$5:$F$34,MATCH(A599,Library!$A$5:$A$34,0))</f>
        <v>IE</v>
      </c>
    </row>
    <row r="600" customFormat="false" ht="15" hidden="false" customHeight="false" outlineLevel="0" collapsed="false">
      <c r="A600" s="4" t="s">
        <v>127</v>
      </c>
      <c r="T600" s="9" t="s">
        <v>20</v>
      </c>
      <c r="U600" s="7" t="n">
        <f aca="false">MATCH($A$599,Library!$A$5:$A$34,0)</f>
        <v>19</v>
      </c>
      <c r="V600" s="9" t="s">
        <v>21</v>
      </c>
      <c r="W600" s="7" t="str">
        <f aca="false">INDEX(Library!$D$5:$D$34,$U$600)</f>
        <v>ground</v>
      </c>
      <c r="X600" s="9" t="s">
        <v>22</v>
      </c>
      <c r="Y600" s="7" t="n">
        <f aca="false">INDEX(Library!$E$5:$E$34,$U$600)</f>
        <v>0.17</v>
      </c>
    </row>
    <row r="601" customFormat="false" ht="15" hidden="false" customHeight="false" outlineLevel="0" collapsed="false">
      <c r="A601" s="9"/>
      <c r="B601" s="9" t="s">
        <v>23</v>
      </c>
      <c r="C601" s="9" t="s">
        <v>24</v>
      </c>
      <c r="D601" s="9" t="s">
        <v>25</v>
      </c>
      <c r="E601" s="9" t="s">
        <v>26</v>
      </c>
      <c r="F601" s="9" t="s">
        <v>27</v>
      </c>
      <c r="G601" s="9" t="s">
        <v>28</v>
      </c>
      <c r="H601" s="9" t="s">
        <v>29</v>
      </c>
      <c r="I601" s="9" t="s">
        <v>30</v>
      </c>
      <c r="J601" s="9" t="s">
        <v>31</v>
      </c>
      <c r="K601" s="9" t="s">
        <v>32</v>
      </c>
      <c r="L601" s="9" t="s">
        <v>33</v>
      </c>
      <c r="M601" s="9" t="s">
        <v>34</v>
      </c>
      <c r="N601" s="9" t="s">
        <v>35</v>
      </c>
      <c r="O601" s="9" t="s">
        <v>36</v>
      </c>
      <c r="P601" s="9" t="s">
        <v>37</v>
      </c>
      <c r="Q601" s="9" t="s">
        <v>38</v>
      </c>
      <c r="R601" s="9" t="s">
        <v>39</v>
      </c>
      <c r="S601" s="9" t="s">
        <v>40</v>
      </c>
      <c r="T601" s="9" t="s">
        <v>41</v>
      </c>
    </row>
    <row r="602" customFormat="false" ht="15" hidden="false" customHeight="false" outlineLevel="0" collapsed="false">
      <c r="A602" s="7" t="s">
        <v>22</v>
      </c>
      <c r="B602" s="7" t="s">
        <v>42</v>
      </c>
      <c r="H602" s="10" t="n">
        <f aca="false">$Y$600</f>
        <v>0.17</v>
      </c>
      <c r="I602" s="11" t="n">
        <f aca="false">IF(B602="mass",SQRT(E602*($B$2*3600)/(PI()*F602*G602)),0)</f>
        <v>0</v>
      </c>
      <c r="J602" s="10" t="n">
        <f aca="false">IF(B602="mass",D602/I602,0)</f>
        <v>0</v>
      </c>
      <c r="K602" s="7" t="str">
        <f aca="false">IF(B602="mass",COMPLEX(COSH(J602)*COS(J602),SINH(J602)*SIN(J602)),COMPLEX(1,0))</f>
        <v>1</v>
      </c>
      <c r="L602" s="7" t="str">
        <f aca="false">IF(B602="mass",COMPLEX(-I602/(2*E602)*(SINH(J602)*COS(J602)+COSH(J602)*SIN(J602)),-I602/(2*E602)*(COSH(J602)*SIN(J602)-SINH(J602)*COS(J602))),COMPLEX(-H602,0))</f>
        <v>-0.17</v>
      </c>
      <c r="M602" s="7" t="str">
        <f aca="false">IF(B602="mass",COMPLEX(-E602/I602*(SINH(J602)*COS(J602)-COSH(J602)*SIN(J602)),-E602/I602*(SINH(J602)*COS(J602)+COSH(J602)*SIN(J602))),COMPLEX(0,0))</f>
        <v>0</v>
      </c>
      <c r="N602" s="7" t="str">
        <f aca="false">K602</f>
        <v>1</v>
      </c>
      <c r="O602" s="7" t="str">
        <f aca="false">K602</f>
        <v>1</v>
      </c>
      <c r="P602" s="7" t="str">
        <f aca="false">L602</f>
        <v>-0.17</v>
      </c>
      <c r="Q602" s="7" t="str">
        <f aca="false">M602</f>
        <v>0</v>
      </c>
      <c r="R602" s="7" t="str">
        <f aca="false">N602</f>
        <v>1</v>
      </c>
      <c r="S602" s="10" t="n">
        <f aca="false">IF(B602="mass",D602/E602,H602)</f>
        <v>0.17</v>
      </c>
      <c r="T602" s="12" t="n">
        <f aca="false">IF(B602="mass",F602*G602*D602,0)</f>
        <v>0</v>
      </c>
    </row>
    <row r="603" customFormat="false" ht="15" hidden="false" customHeight="false" outlineLevel="0" collapsed="false">
      <c r="A603" s="7" t="s">
        <v>43</v>
      </c>
      <c r="B603" s="7" t="str">
        <f aca="false">IF(C603="","none",IF(C603="Cavity","res","mass"))</f>
        <v>mass</v>
      </c>
      <c r="C603" s="7" t="str">
        <f aca="false">IF(INDEX(Library!$G$5:$G$34,$U$600)="","",INDEX(Library!$G$5:$G$34,$U$600))</f>
        <v>carpet + underlay</v>
      </c>
      <c r="D603" s="11" t="n">
        <f aca="false">IF(B603="mass",INDEX(Library!$H$5:$H$34,$U$600)/1000,0)</f>
        <v>0.012</v>
      </c>
      <c r="E603" s="7" t="n">
        <f aca="false">IF(B603="mass",INDEX(Materials!$B$5:$B$28,MATCH(C603,Materials!$A$5:$A$28,0)),0)</f>
        <v>0.06</v>
      </c>
      <c r="F603" s="7" t="n">
        <f aca="false">IF(B603="mass",INDEX(Materials!$C$5:$C$28,MATCH(C603,Materials!$A$5:$A$28,0)),0)</f>
        <v>200</v>
      </c>
      <c r="G603" s="7" t="n">
        <f aca="false">IF(B603="mass",INDEX(Materials!$D$5:$D$28,MATCH(C603,Materials!$A$5:$A$28,0)),0)</f>
        <v>1300</v>
      </c>
      <c r="H603" s="10" t="n">
        <f aca="false">IF(B603="res",INDEX(Library!$H$5:$H$34,$U$600),0)</f>
        <v>0</v>
      </c>
      <c r="I603" s="11" t="n">
        <f aca="false">IF(B603="mass",SQRT(E603*($B$2*3600)/(PI()*F603*G603)),0)</f>
        <v>0.0796656100396374</v>
      </c>
      <c r="J603" s="10" t="n">
        <f aca="false">IF(B603="mass",D603/I603,0)</f>
        <v>0.150629612878498</v>
      </c>
      <c r="K603" s="7" t="str">
        <f aca="false">IF(B603="mass",COMPLEX(COSH(J603)*COS(J603),SINH(J603)*SIN(J603)),COMPLEX(1,0))</f>
        <v>0.999914199531928+0.022689150492429i</v>
      </c>
      <c r="L603" s="7" t="str">
        <f aca="false">IF(B603="mass",COMPLEX(-I603/(2*E603)*(SINH(J603)*COS(J603)+COSH(J603)*SIN(J603)),-I603/(2*E603)*(COSH(J603)*SIN(J603)-SINH(J603)*COS(J603))),COMPLEX(-H603,0))</f>
        <v>-0.199996567979407-0.00151261497696128i</v>
      </c>
      <c r="M603" s="7" t="str">
        <f aca="false">IF(B603="mass",COMPLEX(-E603/I603*(SINH(J603)*COS(J603)-COSH(J603)*SIN(J603)),-E603/I603*(SINH(J603)*COS(J603)+COSH(J603)*SIN(J603))),COMPLEX(0,0))</f>
        <v>0.00171600725809191-0.226888909255406i</v>
      </c>
      <c r="N603" s="7" t="str">
        <f aca="false">K603</f>
        <v>0.999914199531928+0.022689150492429i</v>
      </c>
      <c r="O603" s="7" t="str">
        <f aca="false">IMSUM(IMPRODUCT(K603,O602),IMPRODUCT(L603,Q602))</f>
        <v>0.999914199531928+0.022689150492429i</v>
      </c>
      <c r="P603" s="7" t="str">
        <f aca="false">IMSUM(IMPRODUCT(K603,P602),IMPRODUCT(L603,R602))</f>
        <v>-0.369981981899835-0.00536977056067421i</v>
      </c>
      <c r="Q603" s="7" t="str">
        <f aca="false">IMSUM(IMPRODUCT(M603,O602),IMPRODUCT(N603,Q602))</f>
        <v>0.00171600725809191-0.226888909255406i</v>
      </c>
      <c r="R603" s="7" t="str">
        <f aca="false">IMSUM(IMPRODUCT(M603,P602),IMPRODUCT(N603,R602))</f>
        <v>0.999622478298052+0.061260265065848i</v>
      </c>
      <c r="S603" s="10" t="n">
        <f aca="false">IF(B603="mass",D603/E603,H603)</f>
        <v>0.2</v>
      </c>
      <c r="T603" s="12" t="n">
        <f aca="false">IF(B603="mass",F603*G603*D603,0)</f>
        <v>3120</v>
      </c>
    </row>
    <row r="604" customFormat="false" ht="15" hidden="false" customHeight="false" outlineLevel="0" collapsed="false">
      <c r="A604" s="7" t="s">
        <v>44</v>
      </c>
      <c r="B604" s="7" t="str">
        <f aca="false">IF(C604="","none",IF(C604="Cavity","res","mass"))</f>
        <v>mass</v>
      </c>
      <c r="C604" s="7" t="str">
        <f aca="false">IF(INDEX(Library!$I$5:$I$34,$U$600)="","",INDEX(Library!$I$5:$I$34,$U$600))</f>
        <v>screed</v>
      </c>
      <c r="D604" s="11" t="n">
        <f aca="false">IF(B604="mass",INDEX(Library!$J$5:$J$34,$U$600)/1000,0)</f>
        <v>0.065</v>
      </c>
      <c r="E604" s="7" t="n">
        <f aca="false">IF(B604="mass",INDEX(Materials!$B$5:$B$28,MATCH(C604,Materials!$A$5:$A$28,0)),0)</f>
        <v>1.15</v>
      </c>
      <c r="F604" s="7" t="n">
        <f aca="false">IF(B604="mass",INDEX(Materials!$C$5:$C$28,MATCH(C604,Materials!$A$5:$A$28,0)),0)</f>
        <v>2000</v>
      </c>
      <c r="G604" s="7" t="n">
        <f aca="false">IF(B604="mass",INDEX(Materials!$D$5:$D$28,MATCH(C604,Materials!$A$5:$A$28,0)),0)</f>
        <v>1000</v>
      </c>
      <c r="H604" s="10" t="n">
        <f aca="false">IF(B604="res",INDEX(Library!$J$5:$J$34,$U$600),0)</f>
        <v>0</v>
      </c>
      <c r="I604" s="11" t="n">
        <f aca="false">IF(B604="mass",SQRT(E604*($B$2*3600)/(PI()*F604*G604)),0)</f>
        <v>0.125752276900304</v>
      </c>
      <c r="J604" s="10" t="n">
        <f aca="false">IF(B604="mass",D604/I604,0)</f>
        <v>0.516889249262117</v>
      </c>
      <c r="K604" s="7" t="str">
        <f aca="false">IF(B604="mass",COMPLEX(COSH(J604)*COS(J604),SINH(J604)*SIN(J604)),COMPLEX(1,0))</f>
        <v>0.988104986724448+0.266962602381701i</v>
      </c>
      <c r="L604" s="7" t="str">
        <f aca="false">IF(B604="mass",COMPLEX(-I604/(2*E604)*(SINH(J604)*COS(J604)+COSH(J604)*SIN(J604)),-I604/(2*E604)*(COSH(J604)*SIN(J604)-SINH(J604)*COS(J604))),COMPLEX(-H604,0))</f>
        <v>-0.0563872636045092-0.00503201141092752i</v>
      </c>
      <c r="M604" s="7" t="str">
        <f aca="false">IF(B604="mass",COMPLEX(-E604/I604*(SINH(J604)*COS(J604)-COSH(J604)*SIN(J604)),-E604/I604*(SINH(J604)*COS(J604)+COSH(J604)*SIN(J604))),COMPLEX(0,0))</f>
        <v>0.841657851553351-9.43137430834957i</v>
      </c>
      <c r="N604" s="7" t="str">
        <f aca="false">K604</f>
        <v>0.988104986724448+0.266962602381701i</v>
      </c>
      <c r="O604" s="7" t="str">
        <f aca="false">IMSUM(IMPRODUCT(K604,O603),IMPRODUCT(L604,Q603))</f>
        <v>0.980724583658799+0.302143969378589i</v>
      </c>
      <c r="P604" s="7" t="str">
        <f aca="false">IMSUM(IMPRODUCT(K604,P603),IMPRODUCT(L604,R603))</f>
        <v>-0.420205227226288-0.112561660223054i</v>
      </c>
      <c r="Q604" s="7" t="str">
        <f aca="false">IMSUM(IMPRODUCT(M604,O603),IMPRODUCT(N604,Q603))</f>
        <v>1.11784195694364-9.63520054326673i</v>
      </c>
      <c r="R604" s="7" t="str">
        <f aca="false">IMSUM(IMPRODUCT(M604,P603),IMPRODUCT(N604,R603))</f>
        <v>0.609335199756644+3.81231244069425i</v>
      </c>
      <c r="S604" s="10" t="n">
        <f aca="false">IF(B604="mass",D604/E604,H604)</f>
        <v>0.0565217391304348</v>
      </c>
      <c r="T604" s="12" t="n">
        <f aca="false">IF(B604="mass",F604*G604*D604,0)</f>
        <v>130000</v>
      </c>
    </row>
    <row r="605" customFormat="false" ht="15" hidden="false" customHeight="false" outlineLevel="0" collapsed="false">
      <c r="A605" s="7" t="s">
        <v>45</v>
      </c>
      <c r="B605" s="7" t="str">
        <f aca="false">IF(C605="","none",IF(C605="Cavity","res","mass"))</f>
        <v>mass</v>
      </c>
      <c r="C605" s="7" t="str">
        <f aca="false">IF(INDEX(Library!$K$5:$K$34,$U$600)="","",INDEX(Library!$K$5:$K$34,$U$600))</f>
        <v>PIR</v>
      </c>
      <c r="D605" s="11" t="n">
        <f aca="false">IF(B605="mass",INDEX(Library!$L$5:$L$34,$U$600)/1000,0)</f>
        <v>0.1</v>
      </c>
      <c r="E605" s="7" t="n">
        <f aca="false">IF(B605="mass",INDEX(Materials!$B$5:$B$28,MATCH(C605,Materials!$A$5:$A$28,0)),0)</f>
        <v>0.022</v>
      </c>
      <c r="F605" s="7" t="n">
        <f aca="false">IF(B605="mass",INDEX(Materials!$C$5:$C$28,MATCH(C605,Materials!$A$5:$A$28,0)),0)</f>
        <v>30</v>
      </c>
      <c r="G605" s="7" t="n">
        <f aca="false">IF(B605="mass",INDEX(Materials!$D$5:$D$28,MATCH(C605,Materials!$A$5:$A$28,0)),0)</f>
        <v>1400</v>
      </c>
      <c r="H605" s="10" t="n">
        <f aca="false">IF(B605="res",INDEX(Library!$L$5:$L$34,$U$600),0)</f>
        <v>0</v>
      </c>
      <c r="I605" s="11" t="n">
        <f aca="false">IF(B605="mass",SQRT(E605*($B$2*3600)/(PI()*F605*G605)),0)</f>
        <v>0.120024147536488</v>
      </c>
      <c r="J605" s="10" t="n">
        <f aca="false">IF(B605="mass",D605/I605,0)</f>
        <v>0.833165675845348</v>
      </c>
      <c r="K605" s="7" t="str">
        <f aca="false">IF(B605="mass",COMPLEX(COSH(J605)*COS(J605),SINH(J605)*SIN(J605)),COMPLEX(1,0))</f>
        <v>0.91978127427238+0.690449865605354i</v>
      </c>
      <c r="L605" s="7" t="str">
        <f aca="false">IF(B605="mass",COMPLEX(-I605/(2*E605)*(SINH(J605)*COS(J605)+COSH(J605)*SIN(J605)),-I605/(2*E605)*(COSH(J605)*SIN(J605)-SINH(J605)*COS(J605))),COMPLEX(-H605,0))</f>
        <v>-4.47249121104719-1.0493524285852i</v>
      </c>
      <c r="M605" s="7" t="str">
        <f aca="false">IF(B605="mass",COMPLEX(-E605/I605*(SINH(J605)*COS(J605)-COSH(J605)*SIN(J605)),-E605/I605*(SINH(J605)*COS(J605)+COSH(J605)*SIN(J605))),COMPLEX(0,0))</f>
        <v>0.0705114213365498-0.300529834987236i</v>
      </c>
      <c r="N605" s="7" t="str">
        <f aca="false">K605</f>
        <v>0.91978127427238+0.690449865605354i</v>
      </c>
      <c r="O605" s="7" t="str">
        <f aca="false">IMSUM(IMPRODUCT(K605,O604),IMPRODUCT(L605,Q604))</f>
        <v>-14.4168225735356+42.8753870962961i</v>
      </c>
      <c r="P605" s="7" t="str">
        <f aca="false">IMSUM(IMPRODUCT(K605,P604),IMPRODUCT(L605,R604))</f>
        <v>0.966434276494023-18.0836040063972i</v>
      </c>
      <c r="Q605" s="7" t="str">
        <f aca="false">IMSUM(IMPRODUCT(M605,O604),IMPRODUCT(N605,Q604))</f>
        <v>7.84074858136511-8.36389560118179i</v>
      </c>
      <c r="R605" s="7" t="str">
        <f aca="false">IMSUM(IMPRODUCT(M605,P604),IMPRODUCT(N605,R604))</f>
        <v>-2.13521291082928+4.04555632635555i</v>
      </c>
      <c r="S605" s="10" t="n">
        <f aca="false">IF(B605="mass",D605/E605,H605)</f>
        <v>4.54545454545455</v>
      </c>
      <c r="T605" s="12" t="n">
        <f aca="false">IF(B605="mass",F605*G605*D605,0)</f>
        <v>4200</v>
      </c>
    </row>
    <row r="606" customFormat="false" ht="15" hidden="false" customHeight="false" outlineLevel="0" collapsed="false">
      <c r="A606" s="7" t="s">
        <v>46</v>
      </c>
      <c r="B606" s="7" t="str">
        <f aca="false">IF(C606="","none",IF(C606="Cavity","res","mass"))</f>
        <v>mass</v>
      </c>
      <c r="C606" s="7" t="str">
        <f aca="false">IF(INDEX(Library!$M$5:$M$34,$U$600)="","",INDEX(Library!$M$5:$M$34,$U$600))</f>
        <v>dense concrete</v>
      </c>
      <c r="D606" s="11" t="n">
        <f aca="false">IF(B606="mass",INDEX(Library!$N$5:$N$34,$U$600)/1000,0)</f>
        <v>0.1</v>
      </c>
      <c r="E606" s="7" t="n">
        <f aca="false">IF(B606="mass",INDEX(Materials!$B$5:$B$28,MATCH(C606,Materials!$A$5:$A$28,0)),0)</f>
        <v>2</v>
      </c>
      <c r="F606" s="7" t="n">
        <f aca="false">IF(B606="mass",INDEX(Materials!$C$5:$C$28,MATCH(C606,Materials!$A$5:$A$28,0)),0)</f>
        <v>2400</v>
      </c>
      <c r="G606" s="7" t="n">
        <f aca="false">IF(B606="mass",INDEX(Materials!$D$5:$D$28,MATCH(C606,Materials!$A$5:$A$28,0)),0)</f>
        <v>1000</v>
      </c>
      <c r="H606" s="10" t="n">
        <f aca="false">IF(B606="res",INDEX(Library!$N$5:$N$34,$U$600),0)</f>
        <v>0</v>
      </c>
      <c r="I606" s="11" t="n">
        <f aca="false">IF(B606="mass",SQRT(E606*($B$2*3600)/(PI()*F606*G606)),0)</f>
        <v>0.15138795132121</v>
      </c>
      <c r="J606" s="10" t="n">
        <f aca="false">IF(B606="mass",D606/I606,0)</f>
        <v>0.660554549601002</v>
      </c>
      <c r="K606" s="7" t="str">
        <f aca="false">IF(B606="mass",COMPLEX(COSH(J606)*COS(J606),SINH(J606)*SIN(J606)),COMPLEX(1,0))</f>
        <v>0.96828340149548+0.435409435633066i</v>
      </c>
      <c r="L606" s="7" t="str">
        <f aca="false">IF(B606="mass",COMPLEX(-I606/(2*E606)*(SINH(J606)*COS(J606)+COSH(J606)*SIN(J606)),-I606/(2*E606)*(COSH(J606)*SIN(J606)-SINH(J606)*COS(J606))),COMPLEX(-H606,0))</f>
        <v>-0.0496827700933164-0.00726561287322371i</v>
      </c>
      <c r="M606" s="7" t="str">
        <f aca="false">IF(B606="mass",COMPLEX(-E606/I606*(SINH(J606)*COS(J606)-COSH(J606)*SIN(J606)),-E606/I606*(SINH(J606)*COS(J606)+COSH(J606)*SIN(J606))),COMPLEX(0,0))</f>
        <v>2.53617733626078-17.3425583927948i</v>
      </c>
      <c r="N606" s="7" t="str">
        <f aca="false">K606</f>
        <v>0.96828340149548+0.435409435633066i</v>
      </c>
      <c r="O606" s="7" t="str">
        <f aca="false">IMSUM(IMPRODUCT(K606,O605),IMPRODUCT(L606,Q605))</f>
        <v>-33.0782370350851+35.5968787360813i</v>
      </c>
      <c r="P606" s="7" t="str">
        <f aca="false">IMSUM(IMPRODUCT(K606,P605),IMPRODUCT(L606,R605))</f>
        <v>8.94503082147584-17.2747398101568i</v>
      </c>
      <c r="Q606" s="7" t="str">
        <f aca="false">IMSUM(IMPRODUCT(M606,O605),IMPRODUCT(N606,Q605))</f>
        <v>718.239071429341+354.079486989425i</v>
      </c>
      <c r="R606" s="7" t="str">
        <f aca="false">IMSUM(IMPRODUCT(M606,P605),IMPRODUCT(N606,R605))</f>
        <v>-314.993874341187-59.6361163196707i</v>
      </c>
      <c r="S606" s="10" t="n">
        <f aca="false">IF(B606="mass",D606/E606,H606)</f>
        <v>0.05</v>
      </c>
      <c r="T606" s="12" t="n">
        <f aca="false">IF(B606="mass",F606*G606*D606,0)</f>
        <v>240000</v>
      </c>
    </row>
    <row r="607" customFormat="false" ht="15" hidden="false" customHeight="false" outlineLevel="0" collapsed="false">
      <c r="A607" s="7" t="s">
        <v>47</v>
      </c>
      <c r="B607" s="7" t="str">
        <f aca="false">IF(C607="","none",IF(C607="Cavity","res","mass"))</f>
        <v>none</v>
      </c>
      <c r="C607" s="7" t="str">
        <f aca="false">IF(INDEX(Library!$O$5:$O$34,$U$600)="","",INDEX(Library!$O$5:$O$34,$U$600))</f>
        <v/>
      </c>
      <c r="D607" s="11" t="n">
        <f aca="false">IF(B607="mass",INDEX(Library!$P$5:$P$34,$U$600)/1000,0)</f>
        <v>0</v>
      </c>
      <c r="E607" s="7" t="n">
        <f aca="false">IF(B607="mass",INDEX(Materials!$B$5:$B$28,MATCH(C607,Materials!$A$5:$A$28,0)),0)</f>
        <v>0</v>
      </c>
      <c r="F607" s="7" t="n">
        <f aca="false">IF(B607="mass",INDEX(Materials!$C$5:$C$28,MATCH(C607,Materials!$A$5:$A$28,0)),0)</f>
        <v>0</v>
      </c>
      <c r="G607" s="7" t="n">
        <f aca="false">IF(B607="mass",INDEX(Materials!$D$5:$D$28,MATCH(C607,Materials!$A$5:$A$28,0)),0)</f>
        <v>0</v>
      </c>
      <c r="H607" s="10" t="n">
        <f aca="false">IF(B607="res",INDEX(Library!$P$5:$P$34,$U$600),0)</f>
        <v>0</v>
      </c>
      <c r="I607" s="11" t="n">
        <f aca="false">IF(B607="mass",SQRT(E607*($B$2*3600)/(PI()*F607*G607)),0)</f>
        <v>0</v>
      </c>
      <c r="J607" s="10" t="n">
        <f aca="false">IF(B607="mass",D607/I607,0)</f>
        <v>0</v>
      </c>
      <c r="K607" s="7" t="str">
        <f aca="false">IF(B607="mass",COMPLEX(COSH(J607)*COS(J607),SINH(J607)*SIN(J607)),COMPLEX(1,0))</f>
        <v>1</v>
      </c>
      <c r="L607" s="7" t="str">
        <f aca="false">IF(B607="mass",COMPLEX(-I607/(2*E607)*(SINH(J607)*COS(J607)+COSH(J607)*SIN(J607)),-I607/(2*E607)*(COSH(J607)*SIN(J607)-SINH(J607)*COS(J607))),COMPLEX(-H607,0))</f>
        <v>-0</v>
      </c>
      <c r="M607" s="7" t="str">
        <f aca="false">IF(B607="mass",COMPLEX(-E607/I607*(SINH(J607)*COS(J607)-COSH(J607)*SIN(J607)),-E607/I607*(SINH(J607)*COS(J607)+COSH(J607)*SIN(J607))),COMPLEX(0,0))</f>
        <v>0</v>
      </c>
      <c r="N607" s="7" t="str">
        <f aca="false">K607</f>
        <v>1</v>
      </c>
      <c r="O607" s="7" t="str">
        <f aca="false">IMSUM(IMPRODUCT(K607,O606),IMPRODUCT(L607,Q606))</f>
        <v>-33.0782370350851+35.5968787360813i</v>
      </c>
      <c r="P607" s="7" t="str">
        <f aca="false">IMSUM(IMPRODUCT(K607,P606),IMPRODUCT(L607,R606))</f>
        <v>8.94503082147584-17.2747398101568i</v>
      </c>
      <c r="Q607" s="7" t="str">
        <f aca="false">IMSUM(IMPRODUCT(M607,O606),IMPRODUCT(N607,Q606))</f>
        <v>718.239071429341+354.079486989425i</v>
      </c>
      <c r="R607" s="7" t="str">
        <f aca="false">IMSUM(IMPRODUCT(M607,P606),IMPRODUCT(N607,R606))</f>
        <v>-314.993874341187-59.6361163196707i</v>
      </c>
      <c r="S607" s="10" t="n">
        <f aca="false">IF(B607="mass",D607/E607,H607)</f>
        <v>0</v>
      </c>
      <c r="T607" s="12" t="n">
        <f aca="false">IF(B607="mass",F607*G607*D607,0)</f>
        <v>0</v>
      </c>
    </row>
    <row r="608" customFormat="false" ht="15" hidden="false" customHeight="false" outlineLevel="0" collapsed="false">
      <c r="A608" s="7" t="s">
        <v>48</v>
      </c>
      <c r="B608" s="7" t="str">
        <f aca="false">IF(C608="","none",IF(C608="Cavity","res","mass"))</f>
        <v>none</v>
      </c>
      <c r="C608" s="7" t="str">
        <f aca="false">IF(INDEX(Library!$Q$5:$Q$34,$U$600)="","",INDEX(Library!$Q$5:$Q$34,$U$600))</f>
        <v/>
      </c>
      <c r="D608" s="11" t="n">
        <f aca="false">IF(B608="mass",INDEX(Library!$R$5:$R$34,$U$600)/1000,0)</f>
        <v>0</v>
      </c>
      <c r="E608" s="7" t="n">
        <f aca="false">IF(B608="mass",INDEX(Materials!$B$5:$B$28,MATCH(C608,Materials!$A$5:$A$28,0)),0)</f>
        <v>0</v>
      </c>
      <c r="F608" s="7" t="n">
        <f aca="false">IF(B608="mass",INDEX(Materials!$C$5:$C$28,MATCH(C608,Materials!$A$5:$A$28,0)),0)</f>
        <v>0</v>
      </c>
      <c r="G608" s="7" t="n">
        <f aca="false">IF(B608="mass",INDEX(Materials!$D$5:$D$28,MATCH(C608,Materials!$A$5:$A$28,0)),0)</f>
        <v>0</v>
      </c>
      <c r="H608" s="10" t="n">
        <f aca="false">IF(B608="res",INDEX(Library!$R$5:$R$34,$U$600),0)</f>
        <v>0</v>
      </c>
      <c r="I608" s="11" t="n">
        <f aca="false">IF(B608="mass",SQRT(E608*($B$2*3600)/(PI()*F608*G608)),0)</f>
        <v>0</v>
      </c>
      <c r="J608" s="10" t="n">
        <f aca="false">IF(B608="mass",D608/I608,0)</f>
        <v>0</v>
      </c>
      <c r="K608" s="7" t="str">
        <f aca="false">IF(B608="mass",COMPLEX(COSH(J608)*COS(J608),SINH(J608)*SIN(J608)),COMPLEX(1,0))</f>
        <v>1</v>
      </c>
      <c r="L608" s="7" t="str">
        <f aca="false">IF(B608="mass",COMPLEX(-I608/(2*E608)*(SINH(J608)*COS(J608)+COSH(J608)*SIN(J608)),-I608/(2*E608)*(COSH(J608)*SIN(J608)-SINH(J608)*COS(J608))),COMPLEX(-H608,0))</f>
        <v>-0</v>
      </c>
      <c r="M608" s="7" t="str">
        <f aca="false">IF(B608="mass",COMPLEX(-E608/I608*(SINH(J608)*COS(J608)-COSH(J608)*SIN(J608)),-E608/I608*(SINH(J608)*COS(J608)+COSH(J608)*SIN(J608))),COMPLEX(0,0))</f>
        <v>0</v>
      </c>
      <c r="N608" s="7" t="str">
        <f aca="false">K608</f>
        <v>1</v>
      </c>
      <c r="O608" s="7" t="str">
        <f aca="false">IMSUM(IMPRODUCT(K608,O607),IMPRODUCT(L608,Q607))</f>
        <v>-33.0782370350851+35.5968787360813i</v>
      </c>
      <c r="P608" s="7" t="str">
        <f aca="false">IMSUM(IMPRODUCT(K608,P607),IMPRODUCT(L608,R607))</f>
        <v>8.94503082147584-17.2747398101568i</v>
      </c>
      <c r="Q608" s="7" t="str">
        <f aca="false">IMSUM(IMPRODUCT(M608,O607),IMPRODUCT(N608,Q607))</f>
        <v>718.239071429341+354.079486989425i</v>
      </c>
      <c r="R608" s="7" t="str">
        <f aca="false">IMSUM(IMPRODUCT(M608,P607),IMPRODUCT(N608,R607))</f>
        <v>-314.993874341187-59.6361163196707i</v>
      </c>
      <c r="S608" s="10" t="n">
        <f aca="false">IF(B608="mass",D608/E608,H608)</f>
        <v>0</v>
      </c>
      <c r="T608" s="12" t="n">
        <f aca="false">IF(B608="mass",F608*G608*D608,0)</f>
        <v>0</v>
      </c>
    </row>
    <row r="609" customFormat="false" ht="15" hidden="false" customHeight="false" outlineLevel="0" collapsed="false">
      <c r="A609" s="7" t="s">
        <v>49</v>
      </c>
      <c r="B609" s="7" t="str">
        <f aca="false">IF(C609="","none",IF(C609="Cavity","res","mass"))</f>
        <v>none</v>
      </c>
      <c r="C609" s="7" t="str">
        <f aca="false">IF(INDEX(Library!$S$5:$S$34,$U$600)="","",INDEX(Library!$S$5:$S$34,$U$600))</f>
        <v/>
      </c>
      <c r="D609" s="11" t="n">
        <f aca="false">IF(B609="mass",INDEX(Library!$T$5:$T$34,$U$600)/1000,0)</f>
        <v>0</v>
      </c>
      <c r="E609" s="7" t="n">
        <f aca="false">IF(B609="mass",INDEX(Materials!$B$5:$B$28,MATCH(C609,Materials!$A$5:$A$28,0)),0)</f>
        <v>0</v>
      </c>
      <c r="F609" s="7" t="n">
        <f aca="false">IF(B609="mass",INDEX(Materials!$C$5:$C$28,MATCH(C609,Materials!$A$5:$A$28,0)),0)</f>
        <v>0</v>
      </c>
      <c r="G609" s="7" t="n">
        <f aca="false">IF(B609="mass",INDEX(Materials!$D$5:$D$28,MATCH(C609,Materials!$A$5:$A$28,0)),0)</f>
        <v>0</v>
      </c>
      <c r="H609" s="10" t="n">
        <f aca="false">IF(B609="res",INDEX(Library!$T$5:$T$34,$U$600),0)</f>
        <v>0</v>
      </c>
      <c r="I609" s="11" t="n">
        <f aca="false">IF(B609="mass",SQRT(E609*($B$2*3600)/(PI()*F609*G609)),0)</f>
        <v>0</v>
      </c>
      <c r="J609" s="10" t="n">
        <f aca="false">IF(B609="mass",D609/I609,0)</f>
        <v>0</v>
      </c>
      <c r="K609" s="7" t="str">
        <f aca="false">IF(B609="mass",COMPLEX(COSH(J609)*COS(J609),SINH(J609)*SIN(J609)),COMPLEX(1,0))</f>
        <v>1</v>
      </c>
      <c r="L609" s="7" t="str">
        <f aca="false">IF(B609="mass",COMPLEX(-I609/(2*E609)*(SINH(J609)*COS(J609)+COSH(J609)*SIN(J609)),-I609/(2*E609)*(COSH(J609)*SIN(J609)-SINH(J609)*COS(J609))),COMPLEX(-H609,0))</f>
        <v>-0</v>
      </c>
      <c r="M609" s="7" t="str">
        <f aca="false">IF(B609="mass",COMPLEX(-E609/I609*(SINH(J609)*COS(J609)-COSH(J609)*SIN(J609)),-E609/I609*(SINH(J609)*COS(J609)+COSH(J609)*SIN(J609))),COMPLEX(0,0))</f>
        <v>0</v>
      </c>
      <c r="N609" s="7" t="str">
        <f aca="false">K609</f>
        <v>1</v>
      </c>
      <c r="O609" s="7" t="str">
        <f aca="false">IMSUM(IMPRODUCT(K609,O608),IMPRODUCT(L609,Q608))</f>
        <v>-33.0782370350851+35.5968787360813i</v>
      </c>
      <c r="P609" s="7" t="str">
        <f aca="false">IMSUM(IMPRODUCT(K609,P608),IMPRODUCT(L609,R608))</f>
        <v>8.94503082147584-17.2747398101568i</v>
      </c>
      <c r="Q609" s="7" t="str">
        <f aca="false">IMSUM(IMPRODUCT(M609,O608),IMPRODUCT(N609,Q608))</f>
        <v>718.239071429341+354.079486989425i</v>
      </c>
      <c r="R609" s="7" t="str">
        <f aca="false">IMSUM(IMPRODUCT(M609,P608),IMPRODUCT(N609,R608))</f>
        <v>-314.993874341187-59.6361163196707i</v>
      </c>
      <c r="S609" s="10" t="n">
        <f aca="false">IF(B609="mass",D609/E609,H609)</f>
        <v>0</v>
      </c>
      <c r="T609" s="12" t="n">
        <f aca="false">IF(B609="mass",F609*G609*D609,0)</f>
        <v>0</v>
      </c>
    </row>
    <row r="610" customFormat="false" ht="15" hidden="false" customHeight="false" outlineLevel="0" collapsed="false">
      <c r="A610" s="7" t="s">
        <v>50</v>
      </c>
      <c r="B610" s="7" t="str">
        <f aca="false">IF(C610="","none",IF(C610="Cavity","res","mass"))</f>
        <v>none</v>
      </c>
      <c r="C610" s="7" t="str">
        <f aca="false">IF(INDEX(Library!$U$5:$U$34,$U$600)="","",INDEX(Library!$U$5:$U$34,$U$600))</f>
        <v/>
      </c>
      <c r="D610" s="11" t="n">
        <f aca="false">IF(B610="mass",INDEX(Library!$V$5:$V$34,$U$600)/1000,0)</f>
        <v>0</v>
      </c>
      <c r="E610" s="7" t="n">
        <f aca="false">IF(B610="mass",INDEX(Materials!$B$5:$B$28,MATCH(C610,Materials!$A$5:$A$28,0)),0)</f>
        <v>0</v>
      </c>
      <c r="F610" s="7" t="n">
        <f aca="false">IF(B610="mass",INDEX(Materials!$C$5:$C$28,MATCH(C610,Materials!$A$5:$A$28,0)),0)</f>
        <v>0</v>
      </c>
      <c r="G610" s="7" t="n">
        <f aca="false">IF(B610="mass",INDEX(Materials!$D$5:$D$28,MATCH(C610,Materials!$A$5:$A$28,0)),0)</f>
        <v>0</v>
      </c>
      <c r="H610" s="10" t="n">
        <f aca="false">IF(B610="res",INDEX(Library!$V$5:$V$34,$U$600),0)</f>
        <v>0</v>
      </c>
      <c r="I610" s="11" t="n">
        <f aca="false">IF(B610="mass",SQRT(E610*($B$2*3600)/(PI()*F610*G610)),0)</f>
        <v>0</v>
      </c>
      <c r="J610" s="10" t="n">
        <f aca="false">IF(B610="mass",D610/I610,0)</f>
        <v>0</v>
      </c>
      <c r="K610" s="7" t="str">
        <f aca="false">IF(B610="mass",COMPLEX(COSH(J610)*COS(J610),SINH(J610)*SIN(J610)),COMPLEX(1,0))</f>
        <v>1</v>
      </c>
      <c r="L610" s="7" t="str">
        <f aca="false">IF(B610="mass",COMPLEX(-I610/(2*E610)*(SINH(J610)*COS(J610)+COSH(J610)*SIN(J610)),-I610/(2*E610)*(COSH(J610)*SIN(J610)-SINH(J610)*COS(J610))),COMPLEX(-H610,0))</f>
        <v>-0</v>
      </c>
      <c r="M610" s="7" t="str">
        <f aca="false">IF(B610="mass",COMPLEX(-E610/I610*(SINH(J610)*COS(J610)-COSH(J610)*SIN(J610)),-E610/I610*(SINH(J610)*COS(J610)+COSH(J610)*SIN(J610))),COMPLEX(0,0))</f>
        <v>0</v>
      </c>
      <c r="N610" s="7" t="str">
        <f aca="false">K610</f>
        <v>1</v>
      </c>
      <c r="O610" s="7" t="str">
        <f aca="false">IMSUM(IMPRODUCT(K610,O609),IMPRODUCT(L610,Q609))</f>
        <v>-33.0782370350851+35.5968787360813i</v>
      </c>
      <c r="P610" s="7" t="str">
        <f aca="false">IMSUM(IMPRODUCT(K610,P609),IMPRODUCT(L610,R609))</f>
        <v>8.94503082147584-17.2747398101568i</v>
      </c>
      <c r="Q610" s="7" t="str">
        <f aca="false">IMSUM(IMPRODUCT(M610,O609),IMPRODUCT(N610,Q609))</f>
        <v>718.239071429341+354.079486989425i</v>
      </c>
      <c r="R610" s="7" t="str">
        <f aca="false">IMSUM(IMPRODUCT(M610,P609),IMPRODUCT(N610,R609))</f>
        <v>-314.993874341187-59.6361163196707i</v>
      </c>
      <c r="S610" s="10" t="n">
        <f aca="false">IF(B610="mass",D610/E610,H610)</f>
        <v>0</v>
      </c>
      <c r="T610" s="12" t="n">
        <f aca="false">IF(B610="mass",F610*G610*D610,0)</f>
        <v>0</v>
      </c>
    </row>
    <row r="611" customFormat="false" ht="15" hidden="false" customHeight="false" outlineLevel="0" collapsed="false">
      <c r="A611" s="7" t="s">
        <v>51</v>
      </c>
      <c r="B611" s="7" t="str">
        <f aca="false">IF($W$600="ground","mass",IF($W$600="adiabatic","res","none"))</f>
        <v>mass</v>
      </c>
      <c r="C611" s="7" t="str">
        <f aca="false">IF($W$600="ground","clay soil","")</f>
        <v>clay soil</v>
      </c>
      <c r="D611" s="11" t="n">
        <f aca="false">IF(B611="mass",1,0)</f>
        <v>1</v>
      </c>
      <c r="E611" s="7" t="n">
        <f aca="false">IF(B611="mass",INDEX(Materials!$B$5:$B$28,MATCH(C611,Materials!$A$5:$A$28,0)),0)</f>
        <v>1.5</v>
      </c>
      <c r="F611" s="7" t="n">
        <f aca="false">IF(B611="mass",INDEX(Materials!$C$5:$C$28,MATCH(C611,Materials!$A$5:$A$28,0)),0)</f>
        <v>1500</v>
      </c>
      <c r="G611" s="7" t="n">
        <f aca="false">IF(B611="mass",INDEX(Materials!$D$5:$D$28,MATCH(C611,Materials!$A$5:$A$28,0)),0)</f>
        <v>2000</v>
      </c>
      <c r="H611" s="12" t="n">
        <f aca="false">IF(B611="res",1000000,0)</f>
        <v>0</v>
      </c>
      <c r="I611" s="11" t="n">
        <f aca="false">IF(B611="mass",SQRT(E611*($B$2*3600)/(PI()*F611*G611)),0)</f>
        <v>0.117264602856701</v>
      </c>
      <c r="J611" s="10" t="n">
        <f aca="false">IF(B611="mass",D611/I611,0)</f>
        <v>8.52772256622074</v>
      </c>
      <c r="K611" s="7" t="str">
        <f aca="false">IF(B611="mass",COMPLEX(COSH(J611)*COS(J611),SINH(J611)*SIN(J611)),COMPLEX(1,0))</f>
        <v>-1576.2950348935+1974.41299212316i</v>
      </c>
      <c r="L611" s="7" t="str">
        <f aca="false">IF(B611="mass",COMPLEX(-I611/(2*E611)*(SINH(J611)*COS(J611)+COSH(J611)*SIN(J611)),-I611/(2*E611)*(COSH(J611)*SIN(J611)-SINH(J611)*COS(J611))),COMPLEX(-H611,0))</f>
        <v>-15.5617255867729-138.790790101731i</v>
      </c>
      <c r="M611" s="7" t="str">
        <f aca="false">IF(B611="mass",COMPLEX(-E611/I611*(SINH(J611)*COS(J611)-COSH(J611)*SIN(J611)),-E611/I611*(SINH(J611)*COS(J611)+COSH(J611)*SIN(J611))),COMPLEX(0,0))</f>
        <v>45419.1798509919-5092.56278964437i</v>
      </c>
      <c r="N611" s="7" t="str">
        <f aca="false">K611</f>
        <v>-1576.2950348935+1974.41299212316i</v>
      </c>
      <c r="O611" s="7" t="str">
        <f aca="false">IMSUM(IMPRODUCT(K611,O610),IMPRODUCT(L611,Q610))</f>
        <v>19824.0533686793-226616.340186039i</v>
      </c>
      <c r="P611" s="7" t="str">
        <f aca="false">IMSUM(IMPRODUCT(K611,P610),IMPRODUCT(L611,R610))</f>
        <v>16632.3675772652+89537.5612349375i</v>
      </c>
      <c r="Q611" s="7" t="str">
        <f aca="false">IMSUM(IMPRODUCT(M611,O610),IMPRODUCT(N611,Q610))</f>
        <v>-3152362.87848823+2645200.85330144i</v>
      </c>
      <c r="R611" s="7" t="str">
        <f aca="false">IMSUM(IMPRODUCT(M611,P610),IMPRODUCT(N611,R610))</f>
        <v>932572.86950249-1358081.52931369i</v>
      </c>
      <c r="S611" s="10" t="n">
        <f aca="false">IF(B611="mass",D611/E611,H611)</f>
        <v>0.666666666666667</v>
      </c>
      <c r="T611" s="12" t="n">
        <f aca="false">IF(B611="mass",F611*G611*D611,0)</f>
        <v>3000000</v>
      </c>
    </row>
    <row r="612" customFormat="false" ht="15" hidden="false" customHeight="false" outlineLevel="0" collapsed="false">
      <c r="A612" s="7" t="s">
        <v>52</v>
      </c>
      <c r="B612" s="7" t="s">
        <v>42</v>
      </c>
      <c r="H612" s="10" t="n">
        <f aca="false">IF($W$600="ext",0.04,IF($W$600="room",$Y$600,0))</f>
        <v>0</v>
      </c>
      <c r="I612" s="11" t="n">
        <f aca="false">IF(B612="mass",SQRT(E612*($B$2*3600)/(PI()*F612*G612)),0)</f>
        <v>0</v>
      </c>
      <c r="J612" s="10" t="n">
        <f aca="false">IF(B612="mass",D612/I612,0)</f>
        <v>0</v>
      </c>
      <c r="K612" s="7" t="str">
        <f aca="false">IF(B612="mass",COMPLEX(COSH(J612)*COS(J612),SINH(J612)*SIN(J612)),COMPLEX(1,0))</f>
        <v>1</v>
      </c>
      <c r="L612" s="7" t="str">
        <f aca="false">IF(B612="mass",COMPLEX(-I612/(2*E612)*(SINH(J612)*COS(J612)+COSH(J612)*SIN(J612)),-I612/(2*E612)*(COSH(J612)*SIN(J612)-SINH(J612)*COS(J612))),COMPLEX(-H612,0))</f>
        <v>-0</v>
      </c>
      <c r="M612" s="7" t="str">
        <f aca="false">IF(B612="mass",COMPLEX(-E612/I612*(SINH(J612)*COS(J612)-COSH(J612)*SIN(J612)),-E612/I612*(SINH(J612)*COS(J612)+COSH(J612)*SIN(J612))),COMPLEX(0,0))</f>
        <v>0</v>
      </c>
      <c r="N612" s="7" t="str">
        <f aca="false">K612</f>
        <v>1</v>
      </c>
      <c r="O612" s="7" t="str">
        <f aca="false">IMSUM(IMPRODUCT(K612,O611),IMPRODUCT(L612,Q611))</f>
        <v>19824.0533686793-226616.340186039i</v>
      </c>
      <c r="P612" s="7" t="str">
        <f aca="false">IMSUM(IMPRODUCT(K612,P611),IMPRODUCT(L612,R611))</f>
        <v>16632.3675772652+89537.5612349375i</v>
      </c>
      <c r="Q612" s="7" t="str">
        <f aca="false">IMSUM(IMPRODUCT(M612,O611),IMPRODUCT(N612,Q611))</f>
        <v>-3152362.87848823+2645200.85330144i</v>
      </c>
      <c r="R612" s="7" t="str">
        <f aca="false">IMSUM(IMPRODUCT(M612,P611),IMPRODUCT(N612,R611))</f>
        <v>932572.86950249-1358081.52931369i</v>
      </c>
      <c r="S612" s="10" t="n">
        <f aca="false">IF(B612="mass",D612/E612,H612)</f>
        <v>0</v>
      </c>
      <c r="T612" s="12" t="n">
        <f aca="false">IF(B612="mass",F612*G612*D612,0)</f>
        <v>0</v>
      </c>
    </row>
    <row r="613" customFormat="false" ht="15" hidden="false" customHeight="false" outlineLevel="0" collapsed="false">
      <c r="A613" s="9" t="s">
        <v>53</v>
      </c>
      <c r="B613" s="13" t="n">
        <f aca="false">IF(OR($W$600="ext",$W$600="ground"),1/SUM(S602:S612),"–")</f>
        <v>0.17578884956736</v>
      </c>
      <c r="C613" s="9" t="s">
        <v>54</v>
      </c>
      <c r="D613" s="13" t="n">
        <f aca="false">IMABS(IMDIV(IMPRODUCT(O612,COMPLEX(-1,0)),P612))</f>
        <v>2.49789853492914</v>
      </c>
      <c r="E613" s="9" t="s">
        <v>55</v>
      </c>
      <c r="F613" s="14" t="n">
        <f aca="false">IMARGUMENT(IMDIV(IMPRODUCT(O612,COMPLEX(-1,0)),P612))*$B$2/(2*PI())</f>
        <v>1.0348437980642</v>
      </c>
      <c r="G613" s="9" t="s">
        <v>56</v>
      </c>
      <c r="H613" s="13" t="str">
        <f aca="false">IF($W$600="ext",IMABS(IMDIV(COMPLEX(-1,0),P612))*SUM(S602:S612),"–")</f>
        <v>–</v>
      </c>
      <c r="I613" s="9" t="s">
        <v>57</v>
      </c>
      <c r="J613" s="14" t="str">
        <f aca="false">IF($W$600="ext",MOD(-IMARGUMENT(IMDIV(COMPLEX(-1,0),P612))*$B$2/(2*PI()),24),"–")</f>
        <v>–</v>
      </c>
      <c r="K613" s="9" t="s">
        <v>58</v>
      </c>
      <c r="L613" s="15" t="n">
        <f aca="false">($B$2*3600)/(2*PI())*IMABS(IMDIV(IMSUB(O612,COMPLEX(1,0)),P612))/1000</f>
        <v>34.3485573305876</v>
      </c>
      <c r="M613" s="9" t="s">
        <v>59</v>
      </c>
      <c r="N613" s="15" t="n">
        <f aca="false">SUM(T603:T610)/1000</f>
        <v>377.32</v>
      </c>
      <c r="O613" s="9" t="s">
        <v>60</v>
      </c>
      <c r="P613" s="16" t="n">
        <f aca="false">SUM(S603:S610)</f>
        <v>4.85197628458498</v>
      </c>
    </row>
    <row r="615" customFormat="false" ht="15" hidden="false" customHeight="false" outlineLevel="0" collapsed="false">
      <c r="A615" s="4" t="s">
        <v>128</v>
      </c>
    </row>
    <row r="616" customFormat="false" ht="15" hidden="false" customHeight="false" outlineLevel="0" collapsed="false">
      <c r="A616" s="9"/>
      <c r="B616" s="9" t="s">
        <v>62</v>
      </c>
      <c r="C616" s="9" t="s">
        <v>63</v>
      </c>
      <c r="D616" s="9"/>
      <c r="E616" s="9"/>
      <c r="F616" s="9"/>
      <c r="G616" s="9"/>
      <c r="H616" s="9"/>
      <c r="I616" s="9"/>
      <c r="J616" s="9"/>
      <c r="K616" s="9" t="s">
        <v>32</v>
      </c>
      <c r="L616" s="9" t="s">
        <v>33</v>
      </c>
      <c r="M616" s="9" t="s">
        <v>34</v>
      </c>
      <c r="N616" s="9" t="s">
        <v>35</v>
      </c>
      <c r="O616" s="9" t="s">
        <v>36</v>
      </c>
      <c r="P616" s="9" t="s">
        <v>37</v>
      </c>
      <c r="Q616" s="9" t="s">
        <v>38</v>
      </c>
      <c r="R616" s="9" t="s">
        <v>39</v>
      </c>
    </row>
    <row r="617" customFormat="false" ht="15" hidden="false" customHeight="false" outlineLevel="0" collapsed="false">
      <c r="A617" s="7" t="s">
        <v>22</v>
      </c>
      <c r="B617" s="7" t="s">
        <v>42</v>
      </c>
      <c r="C617" s="10" t="n">
        <f aca="false">$Y$600</f>
        <v>0.17</v>
      </c>
      <c r="K617" s="7" t="str">
        <f aca="false">COMPLEX(1,0)</f>
        <v>1</v>
      </c>
      <c r="L617" s="7" t="str">
        <f aca="false">COMPLEX(-C617,0)</f>
        <v>-0.17</v>
      </c>
      <c r="M617" s="7" t="str">
        <f aca="false">COMPLEX(0,0)</f>
        <v>0</v>
      </c>
      <c r="N617" s="7" t="str">
        <f aca="false">COMPLEX(1,0)</f>
        <v>1</v>
      </c>
      <c r="O617" s="7" t="str">
        <f aca="false">K617</f>
        <v>1</v>
      </c>
      <c r="P617" s="7" t="str">
        <f aca="false">L617</f>
        <v>-0.17</v>
      </c>
      <c r="Q617" s="7" t="str">
        <f aca="false">M617</f>
        <v>0</v>
      </c>
      <c r="R617" s="7" t="str">
        <f aca="false">N617</f>
        <v>1</v>
      </c>
    </row>
    <row r="618" customFormat="false" ht="15" hidden="false" customHeight="false" outlineLevel="0" collapsed="false">
      <c r="A618" s="7" t="s">
        <v>64</v>
      </c>
      <c r="B618" s="7" t="s">
        <v>65</v>
      </c>
      <c r="C618" s="10" t="n">
        <f aca="false">INDEX(Classes!$B$5:$F$9,MATCH(Engine!$C$599,Classes!$A$5:$A$9,0),5)*(N613*1000)</f>
        <v>188660</v>
      </c>
      <c r="K618" s="7" t="str">
        <f aca="false">COMPLEX(1,0)</f>
        <v>1</v>
      </c>
      <c r="L618" s="7" t="str">
        <f aca="false">COMPLEX(0,0)</f>
        <v>0</v>
      </c>
      <c r="M618" s="7" t="str">
        <f aca="false">COMPLEX(0,-(2*PI()/($B$2*3600))*C618)</f>
        <v>-13.7197423617188i</v>
      </c>
      <c r="N618" s="7" t="str">
        <f aca="false">COMPLEX(1,0)</f>
        <v>1</v>
      </c>
      <c r="O618" s="7" t="str">
        <f aca="false">IMSUM(IMPRODUCT(K618,O617),IMPRODUCT(L618,Q617))</f>
        <v>1</v>
      </c>
      <c r="P618" s="7" t="str">
        <f aca="false">IMSUM(IMPRODUCT(K618,P617),IMPRODUCT(L618,R617))</f>
        <v>-0.17</v>
      </c>
      <c r="Q618" s="7" t="str">
        <f aca="false">IMSUM(IMPRODUCT(M618,O617),IMPRODUCT(N618,Q617))</f>
        <v>-13.7197423617188i</v>
      </c>
      <c r="R618" s="7" t="str">
        <f aca="false">IMSUM(IMPRODUCT(M618,P617),IMPRODUCT(N618,R617))</f>
        <v>1+2.3323562014922i</v>
      </c>
    </row>
    <row r="619" customFormat="false" ht="15" hidden="false" customHeight="false" outlineLevel="0" collapsed="false">
      <c r="A619" s="7" t="s">
        <v>66</v>
      </c>
      <c r="B619" s="7" t="s">
        <v>42</v>
      </c>
      <c r="C619" s="10" t="n">
        <f aca="false">P613/6</f>
        <v>0.808662714097497</v>
      </c>
      <c r="K619" s="7" t="str">
        <f aca="false">COMPLEX(1,0)</f>
        <v>1</v>
      </c>
      <c r="L619" s="7" t="str">
        <f aca="false">COMPLEX(-C619,0)</f>
        <v>-0.808662714097497</v>
      </c>
      <c r="M619" s="7" t="str">
        <f aca="false">COMPLEX(0,0)</f>
        <v>0</v>
      </c>
      <c r="N619" s="7" t="str">
        <f aca="false">COMPLEX(1,0)</f>
        <v>1</v>
      </c>
      <c r="O619" s="7" t="str">
        <f aca="false">IMSUM(IMPRODUCT(K619,O618),IMPRODUCT(L619,Q618))</f>
        <v>1+11.0946440949459i</v>
      </c>
      <c r="P619" s="7" t="str">
        <f aca="false">IMSUM(IMPRODUCT(K619,P618),IMPRODUCT(L619,R618))</f>
        <v>-0.978662714097497-1.88608949614081i</v>
      </c>
      <c r="Q619" s="7" t="str">
        <f aca="false">IMSUM(IMPRODUCT(M619,O618),IMPRODUCT(N619,Q618))</f>
        <v>-13.7197423617188i</v>
      </c>
      <c r="R619" s="7" t="str">
        <f aca="false">IMSUM(IMPRODUCT(M619,P618),IMPRODUCT(N619,R618))</f>
        <v>1+2.3323562014922i</v>
      </c>
    </row>
    <row r="620" customFormat="false" ht="15" hidden="false" customHeight="false" outlineLevel="0" collapsed="false">
      <c r="A620" s="7" t="s">
        <v>67</v>
      </c>
      <c r="B620" s="7" t="s">
        <v>65</v>
      </c>
      <c r="C620" s="10" t="n">
        <f aca="false">INDEX(Classes!$B$5:$F$9,MATCH(Engine!$C$599,Classes!$A$5:$A$9,0),4)*(N613*1000)</f>
        <v>0</v>
      </c>
      <c r="K620" s="7" t="str">
        <f aca="false">COMPLEX(1,0)</f>
        <v>1</v>
      </c>
      <c r="L620" s="7" t="str">
        <f aca="false">COMPLEX(0,0)</f>
        <v>0</v>
      </c>
      <c r="M620" s="7" t="str">
        <f aca="false">COMPLEX(0,-(2*PI()/($B$2*3600))*C620)</f>
        <v>0</v>
      </c>
      <c r="N620" s="7" t="str">
        <f aca="false">COMPLEX(1,0)</f>
        <v>1</v>
      </c>
      <c r="O620" s="7" t="str">
        <f aca="false">IMSUM(IMPRODUCT(K620,O619),IMPRODUCT(L620,Q619))</f>
        <v>1+11.0946440949459i</v>
      </c>
      <c r="P620" s="7" t="str">
        <f aca="false">IMSUM(IMPRODUCT(K620,P619),IMPRODUCT(L620,R619))</f>
        <v>-0.978662714097497-1.88608949614081i</v>
      </c>
      <c r="Q620" s="7" t="str">
        <f aca="false">IMSUM(IMPRODUCT(M620,O619),IMPRODUCT(N620,Q619))</f>
        <v>-13.7197423617188i</v>
      </c>
      <c r="R620" s="7" t="str">
        <f aca="false">IMSUM(IMPRODUCT(M620,P619),IMPRODUCT(N620,R619))</f>
        <v>1+2.3323562014922i</v>
      </c>
    </row>
    <row r="621" customFormat="false" ht="15" hidden="false" customHeight="false" outlineLevel="0" collapsed="false">
      <c r="A621" s="7" t="s">
        <v>68</v>
      </c>
      <c r="B621" s="7" t="s">
        <v>42</v>
      </c>
      <c r="C621" s="10" t="n">
        <f aca="false">P613/3</f>
        <v>1.61732542819499</v>
      </c>
      <c r="K621" s="7" t="str">
        <f aca="false">COMPLEX(1,0)</f>
        <v>1</v>
      </c>
      <c r="L621" s="7" t="str">
        <f aca="false">COMPLEX(-C621,0)</f>
        <v>-1.61732542819499</v>
      </c>
      <c r="M621" s="7" t="str">
        <f aca="false">COMPLEX(0,0)</f>
        <v>0</v>
      </c>
      <c r="N621" s="7" t="str">
        <f aca="false">COMPLEX(1,0)</f>
        <v>1</v>
      </c>
      <c r="O621" s="7" t="str">
        <f aca="false">IMSUM(IMPRODUCT(K621,O620),IMPRODUCT(L621,Q620))</f>
        <v>1+33.2839322848377i</v>
      </c>
      <c r="P621" s="7" t="str">
        <f aca="false">IMSUM(IMPRODUCT(K621,P620),IMPRODUCT(L621,R620))</f>
        <v>-2.59598814229249-5.65826848842242i</v>
      </c>
      <c r="Q621" s="7" t="str">
        <f aca="false">IMSUM(IMPRODUCT(M621,O620),IMPRODUCT(N621,Q620))</f>
        <v>-13.7197423617188i</v>
      </c>
      <c r="R621" s="7" t="str">
        <f aca="false">IMSUM(IMPRODUCT(M621,P620),IMPRODUCT(N621,R620))</f>
        <v>1+2.3323562014922i</v>
      </c>
    </row>
    <row r="622" customFormat="false" ht="15" hidden="false" customHeight="false" outlineLevel="0" collapsed="false">
      <c r="A622" s="7" t="s">
        <v>69</v>
      </c>
      <c r="B622" s="7" t="s">
        <v>65</v>
      </c>
      <c r="C622" s="10" t="n">
        <f aca="false">INDEX(Classes!$B$5:$F$9,MATCH(Engine!$C$599,Classes!$A$5:$A$9,0),3)*(N613*1000)</f>
        <v>0</v>
      </c>
      <c r="K622" s="7" t="str">
        <f aca="false">COMPLEX(1,0)</f>
        <v>1</v>
      </c>
      <c r="L622" s="7" t="str">
        <f aca="false">COMPLEX(0,0)</f>
        <v>0</v>
      </c>
      <c r="M622" s="7" t="str">
        <f aca="false">COMPLEX(0,-(2*PI()/($B$2*3600))*C622)</f>
        <v>0</v>
      </c>
      <c r="N622" s="7" t="str">
        <f aca="false">COMPLEX(1,0)</f>
        <v>1</v>
      </c>
      <c r="O622" s="7" t="str">
        <f aca="false">IMSUM(IMPRODUCT(K622,O621),IMPRODUCT(L622,Q621))</f>
        <v>1+33.2839322848377i</v>
      </c>
      <c r="P622" s="7" t="str">
        <f aca="false">IMSUM(IMPRODUCT(K622,P621),IMPRODUCT(L622,R621))</f>
        <v>-2.59598814229249-5.65826848842242i</v>
      </c>
      <c r="Q622" s="7" t="str">
        <f aca="false">IMSUM(IMPRODUCT(M622,O621),IMPRODUCT(N622,Q621))</f>
        <v>-13.7197423617188i</v>
      </c>
      <c r="R622" s="7" t="str">
        <f aca="false">IMSUM(IMPRODUCT(M622,P621),IMPRODUCT(N622,R621))</f>
        <v>1+2.3323562014922i</v>
      </c>
    </row>
    <row r="623" customFormat="false" ht="15" hidden="false" customHeight="false" outlineLevel="0" collapsed="false">
      <c r="A623" s="7" t="s">
        <v>68</v>
      </c>
      <c r="B623" s="7" t="s">
        <v>42</v>
      </c>
      <c r="C623" s="10" t="n">
        <f aca="false">P613/3</f>
        <v>1.61732542819499</v>
      </c>
      <c r="K623" s="7" t="str">
        <f aca="false">COMPLEX(1,0)</f>
        <v>1</v>
      </c>
      <c r="L623" s="7" t="str">
        <f aca="false">COMPLEX(-C623,0)</f>
        <v>-1.61732542819499</v>
      </c>
      <c r="M623" s="7" t="str">
        <f aca="false">COMPLEX(0,0)</f>
        <v>0</v>
      </c>
      <c r="N623" s="7" t="str">
        <f aca="false">COMPLEX(1,0)</f>
        <v>1</v>
      </c>
      <c r="O623" s="7" t="str">
        <f aca="false">IMSUM(IMPRODUCT(K623,O622),IMPRODUCT(L623,Q622))</f>
        <v>1+55.4732204747295i</v>
      </c>
      <c r="P623" s="7" t="str">
        <f aca="false">IMSUM(IMPRODUCT(K623,P622),IMPRODUCT(L623,R622))</f>
        <v>-4.21331357048748-9.43044748070403i</v>
      </c>
      <c r="Q623" s="7" t="str">
        <f aca="false">IMSUM(IMPRODUCT(M623,O622),IMPRODUCT(N623,Q622))</f>
        <v>-13.7197423617188i</v>
      </c>
      <c r="R623" s="7" t="str">
        <f aca="false">IMSUM(IMPRODUCT(M623,P622),IMPRODUCT(N623,R622))</f>
        <v>1+2.3323562014922i</v>
      </c>
    </row>
    <row r="624" customFormat="false" ht="15" hidden="false" customHeight="false" outlineLevel="0" collapsed="false">
      <c r="A624" s="7" t="s">
        <v>70</v>
      </c>
      <c r="B624" s="7" t="s">
        <v>65</v>
      </c>
      <c r="C624" s="10" t="n">
        <f aca="false">INDEX(Classes!$B$5:$F$9,MATCH(Engine!$C$599,Classes!$A$5:$A$9,0),2)*(N613*1000)</f>
        <v>0</v>
      </c>
      <c r="K624" s="7" t="str">
        <f aca="false">COMPLEX(1,0)</f>
        <v>1</v>
      </c>
      <c r="L624" s="7" t="str">
        <f aca="false">COMPLEX(0,0)</f>
        <v>0</v>
      </c>
      <c r="M624" s="7" t="str">
        <f aca="false">COMPLEX(0,-(2*PI()/($B$2*3600))*C624)</f>
        <v>0</v>
      </c>
      <c r="N624" s="7" t="str">
        <f aca="false">COMPLEX(1,0)</f>
        <v>1</v>
      </c>
      <c r="O624" s="7" t="str">
        <f aca="false">IMSUM(IMPRODUCT(K624,O623),IMPRODUCT(L624,Q623))</f>
        <v>1+55.4732204747295i</v>
      </c>
      <c r="P624" s="7" t="str">
        <f aca="false">IMSUM(IMPRODUCT(K624,P623),IMPRODUCT(L624,R623))</f>
        <v>-4.21331357048748-9.43044748070403i</v>
      </c>
      <c r="Q624" s="7" t="str">
        <f aca="false">IMSUM(IMPRODUCT(M624,O623),IMPRODUCT(N624,Q623))</f>
        <v>-13.7197423617188i</v>
      </c>
      <c r="R624" s="7" t="str">
        <f aca="false">IMSUM(IMPRODUCT(M624,P623),IMPRODUCT(N624,R623))</f>
        <v>1+2.3323562014922i</v>
      </c>
    </row>
    <row r="625" customFormat="false" ht="15" hidden="false" customHeight="false" outlineLevel="0" collapsed="false">
      <c r="A625" s="7" t="s">
        <v>66</v>
      </c>
      <c r="B625" s="7" t="s">
        <v>42</v>
      </c>
      <c r="C625" s="10" t="n">
        <f aca="false">P613/6</f>
        <v>0.808662714097497</v>
      </c>
      <c r="K625" s="7" t="str">
        <f aca="false">COMPLEX(1,0)</f>
        <v>1</v>
      </c>
      <c r="L625" s="7" t="str">
        <f aca="false">COMPLEX(-C625,0)</f>
        <v>-0.808662714097497</v>
      </c>
      <c r="M625" s="7" t="str">
        <f aca="false">COMPLEX(0,0)</f>
        <v>0</v>
      </c>
      <c r="N625" s="7" t="str">
        <f aca="false">COMPLEX(1,0)</f>
        <v>1</v>
      </c>
      <c r="O625" s="7" t="str">
        <f aca="false">IMSUM(IMPRODUCT(K625,O624),IMPRODUCT(L625,Q624))</f>
        <v>1+66.5678645696754i</v>
      </c>
      <c r="P625" s="7" t="str">
        <f aca="false">IMSUM(IMPRODUCT(K625,P624),IMPRODUCT(L625,R624))</f>
        <v>-5.02197628458498-11.3165369768448i</v>
      </c>
      <c r="Q625" s="7" t="str">
        <f aca="false">IMSUM(IMPRODUCT(M625,O624),IMPRODUCT(N625,Q624))</f>
        <v>-13.7197423617188i</v>
      </c>
      <c r="R625" s="7" t="str">
        <f aca="false">IMSUM(IMPRODUCT(M625,P624),IMPRODUCT(N625,R624))</f>
        <v>1+2.3323562014922i</v>
      </c>
    </row>
    <row r="626" customFormat="false" ht="15" hidden="false" customHeight="false" outlineLevel="0" collapsed="false">
      <c r="A626" s="7" t="s">
        <v>71</v>
      </c>
      <c r="B626" s="7" t="s">
        <v>65</v>
      </c>
      <c r="C626" s="10" t="n">
        <f aca="false">INDEX(Classes!$B$5:$F$9,MATCH(Engine!$C$599,Classes!$A$5:$A$9,0),1)*(N613*1000)</f>
        <v>188660</v>
      </c>
      <c r="K626" s="7" t="str">
        <f aca="false">COMPLEX(1,0)</f>
        <v>1</v>
      </c>
      <c r="L626" s="7" t="str">
        <f aca="false">COMPLEX(0,0)</f>
        <v>0</v>
      </c>
      <c r="M626" s="7" t="str">
        <f aca="false">COMPLEX(0,-(2*PI()/($B$2*3600))*C626)</f>
        <v>-13.7197423617188i</v>
      </c>
      <c r="N626" s="7" t="str">
        <f aca="false">COMPLEX(1,0)</f>
        <v>1</v>
      </c>
      <c r="O626" s="7" t="str">
        <f aca="false">IMSUM(IMPRODUCT(K626,O625),IMPRODUCT(L626,Q625))</f>
        <v>1+66.5678645696754i</v>
      </c>
      <c r="P626" s="7" t="str">
        <f aca="false">IMSUM(IMPRODUCT(K626,P625),IMPRODUCT(L626,R625))</f>
        <v>-5.02197628458498-11.3165369768448i</v>
      </c>
      <c r="Q626" s="7" t="str">
        <f aca="false">IMSUM(IMPRODUCT(M626,O625),IMPRODUCT(N626,Q625))</f>
        <v>913.293951465736-27.4394847234376i</v>
      </c>
      <c r="R626" s="7" t="str">
        <f aca="false">IMSUM(IMPRODUCT(M626,P625),IMPRODUCT(N626,R625))</f>
        <v>-154.259971749175+71.2325769726599i</v>
      </c>
    </row>
    <row r="627" customFormat="false" ht="15" hidden="false" customHeight="false" outlineLevel="0" collapsed="false">
      <c r="A627" s="7" t="s">
        <v>72</v>
      </c>
      <c r="B627" s="7" t="s">
        <v>73</v>
      </c>
      <c r="K627" s="7" t="str">
        <f aca="false">K611</f>
        <v>-1576.2950348935+1974.41299212316i</v>
      </c>
      <c r="L627" s="7" t="str">
        <f aca="false">L611</f>
        <v>-15.5617255867729-138.790790101731i</v>
      </c>
      <c r="M627" s="7" t="str">
        <f aca="false">M611</f>
        <v>45419.1798509919-5092.56278964437i</v>
      </c>
      <c r="N627" s="7" t="str">
        <f aca="false">N611</f>
        <v>-1576.2950348935+1974.41299212316i</v>
      </c>
      <c r="O627" s="7" t="str">
        <f aca="false">IMSUM(IMPRODUCT(K627,O626),IMPRODUCT(L627,Q626))</f>
        <v>-151029.529316676-229285.964800072i</v>
      </c>
      <c r="P627" s="7" t="str">
        <f aca="false">IMSUM(IMPRODUCT(K627,P626),IMPRODUCT(L627,R626))</f>
        <v>42546.6109040705+28224.1073708217i</v>
      </c>
      <c r="Q627" s="7" t="str">
        <f aca="false">IMSUM(IMPRODUCT(M627,O626),IMPRODUCT(N627,Q626))</f>
        <v>-1001023.63601397+4864837.41732795i</v>
      </c>
      <c r="R627" s="7" t="str">
        <f aca="false">IMSUM(IMPRODUCT(M627,P626),IMPRODUCT(N627,R626))</f>
        <v>-183207.517079093-905269.548475156i</v>
      </c>
    </row>
    <row r="628" customFormat="false" ht="15" hidden="false" customHeight="false" outlineLevel="0" collapsed="false">
      <c r="A628" s="7" t="s">
        <v>52</v>
      </c>
      <c r="B628" s="7" t="s">
        <v>73</v>
      </c>
      <c r="K628" s="7" t="str">
        <f aca="false">K612</f>
        <v>1</v>
      </c>
      <c r="L628" s="7" t="str">
        <f aca="false">L612</f>
        <v>-0</v>
      </c>
      <c r="M628" s="7" t="str">
        <f aca="false">M612</f>
        <v>0</v>
      </c>
      <c r="N628" s="7" t="str">
        <f aca="false">N612</f>
        <v>1</v>
      </c>
      <c r="O628" s="7" t="str">
        <f aca="false">IMSUM(IMPRODUCT(K628,O627),IMPRODUCT(L628,Q627))</f>
        <v>-151029.529316676-229285.964800072i</v>
      </c>
      <c r="P628" s="7" t="str">
        <f aca="false">IMSUM(IMPRODUCT(K628,P627),IMPRODUCT(L628,R627))</f>
        <v>42546.6109040705+28224.1073708217i</v>
      </c>
      <c r="Q628" s="7" t="str">
        <f aca="false">IMSUM(IMPRODUCT(M628,O627),IMPRODUCT(N628,Q627))</f>
        <v>-1001023.63601397+4864837.41732795i</v>
      </c>
      <c r="R628" s="7" t="str">
        <f aca="false">IMSUM(IMPRODUCT(M628,P627),IMPRODUCT(N628,R627))</f>
        <v>-183207.517079093-905269.548475156i</v>
      </c>
    </row>
    <row r="629" customFormat="false" ht="15" hidden="false" customHeight="false" outlineLevel="0" collapsed="false">
      <c r="A629" s="9" t="s">
        <v>74</v>
      </c>
      <c r="B629" s="13" t="n">
        <f aca="false">IMABS(IMDIV(IMPRODUCT(O628,COMPLEX(-1,0)),P628))</f>
        <v>5.37747868890962</v>
      </c>
    </row>
    <row r="632" customFormat="false" ht="15" hidden="false" customHeight="false" outlineLevel="0" collapsed="false">
      <c r="A632" s="4" t="s">
        <v>129</v>
      </c>
      <c r="B632" s="9" t="s">
        <v>18</v>
      </c>
      <c r="C632" s="7" t="str">
        <f aca="false">INDEX(Library!$F$5:$F$34,MATCH(A632,Library!$A$5:$A$34,0))</f>
        <v>D</v>
      </c>
    </row>
    <row r="633" customFormat="false" ht="15" hidden="false" customHeight="false" outlineLevel="0" collapsed="false">
      <c r="A633" s="4" t="s">
        <v>130</v>
      </c>
      <c r="T633" s="9" t="s">
        <v>20</v>
      </c>
      <c r="U633" s="7" t="n">
        <f aca="false">MATCH($A$632,Library!$A$5:$A$34,0)</f>
        <v>20</v>
      </c>
      <c r="V633" s="9" t="s">
        <v>21</v>
      </c>
      <c r="W633" s="7" t="str">
        <f aca="false">INDEX(Library!$D$5:$D$34,$U$633)</f>
        <v>room</v>
      </c>
      <c r="X633" s="9" t="s">
        <v>22</v>
      </c>
      <c r="Y633" s="7" t="n">
        <f aca="false">INDEX(Library!$E$5:$E$34,$U$633)</f>
        <v>0.17</v>
      </c>
    </row>
    <row r="634" customFormat="false" ht="15" hidden="false" customHeight="false" outlineLevel="0" collapsed="false">
      <c r="A634" s="9"/>
      <c r="B634" s="9" t="s">
        <v>23</v>
      </c>
      <c r="C634" s="9" t="s">
        <v>24</v>
      </c>
      <c r="D634" s="9" t="s">
        <v>25</v>
      </c>
      <c r="E634" s="9" t="s">
        <v>26</v>
      </c>
      <c r="F634" s="9" t="s">
        <v>27</v>
      </c>
      <c r="G634" s="9" t="s">
        <v>28</v>
      </c>
      <c r="H634" s="9" t="s">
        <v>29</v>
      </c>
      <c r="I634" s="9" t="s">
        <v>30</v>
      </c>
      <c r="J634" s="9" t="s">
        <v>31</v>
      </c>
      <c r="K634" s="9" t="s">
        <v>32</v>
      </c>
      <c r="L634" s="9" t="s">
        <v>33</v>
      </c>
      <c r="M634" s="9" t="s">
        <v>34</v>
      </c>
      <c r="N634" s="9" t="s">
        <v>35</v>
      </c>
      <c r="O634" s="9" t="s">
        <v>36</v>
      </c>
      <c r="P634" s="9" t="s">
        <v>37</v>
      </c>
      <c r="Q634" s="9" t="s">
        <v>38</v>
      </c>
      <c r="R634" s="9" t="s">
        <v>39</v>
      </c>
      <c r="S634" s="9" t="s">
        <v>40</v>
      </c>
      <c r="T634" s="9" t="s">
        <v>41</v>
      </c>
    </row>
    <row r="635" customFormat="false" ht="15" hidden="false" customHeight="false" outlineLevel="0" collapsed="false">
      <c r="A635" s="7" t="s">
        <v>22</v>
      </c>
      <c r="B635" s="7" t="s">
        <v>42</v>
      </c>
      <c r="H635" s="10" t="n">
        <f aca="false">$Y$633</f>
        <v>0.17</v>
      </c>
      <c r="I635" s="11" t="n">
        <f aca="false">IF(B635="mass",SQRT(E635*($B$2*3600)/(PI()*F635*G635)),0)</f>
        <v>0</v>
      </c>
      <c r="J635" s="10" t="n">
        <f aca="false">IF(B635="mass",D635/I635,0)</f>
        <v>0</v>
      </c>
      <c r="K635" s="7" t="str">
        <f aca="false">IF(B635="mass",COMPLEX(COSH(J635)*COS(J635),SINH(J635)*SIN(J635)),COMPLEX(1,0))</f>
        <v>1</v>
      </c>
      <c r="L635" s="7" t="str">
        <f aca="false">IF(B635="mass",COMPLEX(-I635/(2*E635)*(SINH(J635)*COS(J635)+COSH(J635)*SIN(J635)),-I635/(2*E635)*(COSH(J635)*SIN(J635)-SINH(J635)*COS(J635))),COMPLEX(-H635,0))</f>
        <v>-0.17</v>
      </c>
      <c r="M635" s="7" t="str">
        <f aca="false">IF(B635="mass",COMPLEX(-E635/I635*(SINH(J635)*COS(J635)-COSH(J635)*SIN(J635)),-E635/I635*(SINH(J635)*COS(J635)+COSH(J635)*SIN(J635))),COMPLEX(0,0))</f>
        <v>0</v>
      </c>
      <c r="N635" s="7" t="str">
        <f aca="false">K635</f>
        <v>1</v>
      </c>
      <c r="O635" s="7" t="str">
        <f aca="false">K635</f>
        <v>1</v>
      </c>
      <c r="P635" s="7" t="str">
        <f aca="false">L635</f>
        <v>-0.17</v>
      </c>
      <c r="Q635" s="7" t="str">
        <f aca="false">M635</f>
        <v>0</v>
      </c>
      <c r="R635" s="7" t="str">
        <f aca="false">N635</f>
        <v>1</v>
      </c>
      <c r="S635" s="10" t="n">
        <f aca="false">IF(B635="mass",D635/E635,H635)</f>
        <v>0.17</v>
      </c>
      <c r="T635" s="12" t="n">
        <f aca="false">IF(B635="mass",F635*G635*D635,0)</f>
        <v>0</v>
      </c>
    </row>
    <row r="636" customFormat="false" ht="15" hidden="false" customHeight="false" outlineLevel="0" collapsed="false">
      <c r="A636" s="7" t="s">
        <v>43</v>
      </c>
      <c r="B636" s="7" t="str">
        <f aca="false">IF(C636="","none",IF(C636="Cavity","res","mass"))</f>
        <v>mass</v>
      </c>
      <c r="C636" s="7" t="str">
        <f aca="false">IF(INDEX(Library!$G$5:$G$34,$U$633)="","",INDEX(Library!$G$5:$G$34,$U$633))</f>
        <v>chipboard</v>
      </c>
      <c r="D636" s="11" t="n">
        <f aca="false">IF(B636="mass",INDEX(Library!$H$5:$H$34,$U$633)/1000,0)</f>
        <v>0.022</v>
      </c>
      <c r="E636" s="7" t="n">
        <f aca="false">IF(B636="mass",INDEX(Materials!$B$5:$B$28,MATCH(C636,Materials!$A$5:$A$28,0)),0)</f>
        <v>0.14</v>
      </c>
      <c r="F636" s="7" t="n">
        <f aca="false">IF(B636="mass",INDEX(Materials!$C$5:$C$28,MATCH(C636,Materials!$A$5:$A$28,0)),0)</f>
        <v>650</v>
      </c>
      <c r="G636" s="7" t="n">
        <f aca="false">IF(B636="mass",INDEX(Materials!$D$5:$D$28,MATCH(C636,Materials!$A$5:$A$28,0)),0)</f>
        <v>1700</v>
      </c>
      <c r="H636" s="10" t="n">
        <f aca="false">IF(B636="res",INDEX(Library!$H$5:$H$34,$U$633),0)</f>
        <v>0</v>
      </c>
      <c r="I636" s="11" t="n">
        <f aca="false">IF(B636="mass",SQRT(E636*($B$2*3600)/(PI()*F636*G636)),0)</f>
        <v>0.0590289167827278</v>
      </c>
      <c r="J636" s="10" t="n">
        <f aca="false">IF(B636="mass",D636/I636,0)</f>
        <v>0.372698690727751</v>
      </c>
      <c r="K636" s="7" t="str">
        <f aca="false">IF(B636="mass",COMPLEX(COSH(J636)*COS(J636),SINH(J636)*SIN(J636)),COMPLEX(1,0))</f>
        <v>0.996784412982346+0.138874535897584i</v>
      </c>
      <c r="L636" s="7" t="str">
        <f aca="false">IF(B636="mass",COMPLEX(-I636/(2*E636)*(SINH(J636)*COS(J636)+COSH(J636)*SIN(J636)),-I636/(2*E636)*(COSH(J636)*SIN(J636)-SINH(J636)*COS(J636))),COMPLEX(-H636,0))</f>
        <v>-0.157041793773106-0.00727527176750762i</v>
      </c>
      <c r="M636" s="7" t="str">
        <f aca="false">IF(B636="mass",COMPLEX(-E636/I636*(SINH(J636)*COS(J636)-COSH(J636)*SIN(J636)),-E636/I636*(SINH(J636)*COS(J636)+COSH(J636)*SIN(J636))),COMPLEX(0,0))</f>
        <v>0.0818475456073549-1.76673611500131i</v>
      </c>
      <c r="N636" s="7" t="str">
        <f aca="false">K636</f>
        <v>0.996784412982346+0.138874535897584i</v>
      </c>
      <c r="O636" s="7" t="str">
        <f aca="false">IMSUM(IMPRODUCT(K636,O635),IMPRODUCT(L636,Q635))</f>
        <v>0.996784412982346+0.138874535897584i</v>
      </c>
      <c r="P636" s="7" t="str">
        <f aca="false">IMSUM(IMPRODUCT(K636,P635),IMPRODUCT(L636,R635))</f>
        <v>-0.326495143980105-0.0308839428700969i</v>
      </c>
      <c r="Q636" s="7" t="str">
        <f aca="false">IMSUM(IMPRODUCT(M636,O635),IMPRODUCT(N636,Q635))</f>
        <v>0.0818475456073549-1.76673611500131i</v>
      </c>
      <c r="R636" s="7" t="str">
        <f aca="false">IMSUM(IMPRODUCT(M636,P635),IMPRODUCT(N636,R635))</f>
        <v>0.982870330229096+0.439219675447807i</v>
      </c>
      <c r="S636" s="10" t="n">
        <f aca="false">IF(B636="mass",D636/E636,H636)</f>
        <v>0.157142857142857</v>
      </c>
      <c r="T636" s="12" t="n">
        <f aca="false">IF(B636="mass",F636*G636*D636,0)</f>
        <v>24310</v>
      </c>
    </row>
    <row r="637" customFormat="false" ht="15" hidden="false" customHeight="false" outlineLevel="0" collapsed="false">
      <c r="A637" s="7" t="s">
        <v>44</v>
      </c>
      <c r="B637" s="7" t="str">
        <f aca="false">IF(C637="","none",IF(C637="Cavity","res","mass"))</f>
        <v>res</v>
      </c>
      <c r="C637" s="7" t="str">
        <f aca="false">IF(INDEX(Library!$I$5:$I$34,$U$633)="","",INDEX(Library!$I$5:$I$34,$U$633))</f>
        <v>Cavity</v>
      </c>
      <c r="D637" s="11" t="n">
        <f aca="false">IF(B637="mass",INDEX(Library!$J$5:$J$34,$U$633)/1000,0)</f>
        <v>0</v>
      </c>
      <c r="E637" s="7" t="n">
        <f aca="false">IF(B637="mass",INDEX(Materials!$B$5:$B$28,MATCH(C637,Materials!$A$5:$A$28,0)),0)</f>
        <v>0</v>
      </c>
      <c r="F637" s="7" t="n">
        <f aca="false">IF(B637="mass",INDEX(Materials!$C$5:$C$28,MATCH(C637,Materials!$A$5:$A$28,0)),0)</f>
        <v>0</v>
      </c>
      <c r="G637" s="7" t="n">
        <f aca="false">IF(B637="mass",INDEX(Materials!$D$5:$D$28,MATCH(C637,Materials!$A$5:$A$28,0)),0)</f>
        <v>0</v>
      </c>
      <c r="H637" s="10" t="n">
        <f aca="false">IF(B637="res",INDEX(Library!$J$5:$J$34,$U$633),0)</f>
        <v>0.18</v>
      </c>
      <c r="I637" s="11" t="n">
        <f aca="false">IF(B637="mass",SQRT(E637*($B$2*3600)/(PI()*F637*G637)),0)</f>
        <v>0</v>
      </c>
      <c r="J637" s="10" t="n">
        <f aca="false">IF(B637="mass",D637/I637,0)</f>
        <v>0</v>
      </c>
      <c r="K637" s="7" t="str">
        <f aca="false">IF(B637="mass",COMPLEX(COSH(J637)*COS(J637),SINH(J637)*SIN(J637)),COMPLEX(1,0))</f>
        <v>1</v>
      </c>
      <c r="L637" s="7" t="str">
        <f aca="false">IF(B637="mass",COMPLEX(-I637/(2*E637)*(SINH(J637)*COS(J637)+COSH(J637)*SIN(J637)),-I637/(2*E637)*(COSH(J637)*SIN(J637)-SINH(J637)*COS(J637))),COMPLEX(-H637,0))</f>
        <v>-0.18</v>
      </c>
      <c r="M637" s="7" t="str">
        <f aca="false">IF(B637="mass",COMPLEX(-E637/I637*(SINH(J637)*COS(J637)-COSH(J637)*SIN(J637)),-E637/I637*(SINH(J637)*COS(J637)+COSH(J637)*SIN(J637))),COMPLEX(0,0))</f>
        <v>0</v>
      </c>
      <c r="N637" s="7" t="str">
        <f aca="false">K637</f>
        <v>1</v>
      </c>
      <c r="O637" s="7" t="str">
        <f aca="false">IMSUM(IMPRODUCT(K637,O636),IMPRODUCT(L637,Q636))</f>
        <v>0.982051854773022+0.45688703659782i</v>
      </c>
      <c r="P637" s="7" t="str">
        <f aca="false">IMSUM(IMPRODUCT(K637,P636),IMPRODUCT(L637,R636))</f>
        <v>-0.503411803421342-0.109943484450702i</v>
      </c>
      <c r="Q637" s="7" t="str">
        <f aca="false">IMSUM(IMPRODUCT(M637,O636),IMPRODUCT(N637,Q636))</f>
        <v>0.0818475456073549-1.76673611500131i</v>
      </c>
      <c r="R637" s="7" t="str">
        <f aca="false">IMSUM(IMPRODUCT(M637,P636),IMPRODUCT(N637,R636))</f>
        <v>0.982870330229096+0.439219675447807i</v>
      </c>
      <c r="S637" s="10" t="n">
        <f aca="false">IF(B637="mass",D637/E637,H637)</f>
        <v>0.18</v>
      </c>
      <c r="T637" s="12" t="n">
        <f aca="false">IF(B637="mass",F637*G637*D637,0)</f>
        <v>0</v>
      </c>
    </row>
    <row r="638" customFormat="false" ht="15" hidden="false" customHeight="false" outlineLevel="0" collapsed="false">
      <c r="A638" s="7" t="s">
        <v>45</v>
      </c>
      <c r="B638" s="7" t="str">
        <f aca="false">IF(C638="","none",IF(C638="Cavity","res","mass"))</f>
        <v>mass</v>
      </c>
      <c r="C638" s="7" t="str">
        <f aca="false">IF(INDEX(Library!$K$5:$K$34,$U$633)="","",INDEX(Library!$K$5:$K$34,$U$633))</f>
        <v>plasterboard</v>
      </c>
      <c r="D638" s="11" t="n">
        <f aca="false">IF(B638="mass",INDEX(Library!$L$5:$L$34,$U$633)/1000,0)</f>
        <v>0.0125</v>
      </c>
      <c r="E638" s="7" t="n">
        <f aca="false">IF(B638="mass",INDEX(Materials!$B$5:$B$28,MATCH(C638,Materials!$A$5:$A$28,0)),0)</f>
        <v>0.21</v>
      </c>
      <c r="F638" s="7" t="n">
        <f aca="false">IF(B638="mass",INDEX(Materials!$C$5:$C$28,MATCH(C638,Materials!$A$5:$A$28,0)),0)</f>
        <v>700</v>
      </c>
      <c r="G638" s="7" t="n">
        <f aca="false">IF(B638="mass",INDEX(Materials!$D$5:$D$28,MATCH(C638,Materials!$A$5:$A$28,0)),0)</f>
        <v>1000</v>
      </c>
      <c r="H638" s="10" t="n">
        <f aca="false">IF(B638="res",INDEX(Library!$L$5:$L$34,$U$633),0)</f>
        <v>0</v>
      </c>
      <c r="I638" s="11" t="n">
        <f aca="false">IF(B638="mass",SQRT(E638*($B$2*3600)/(PI()*F638*G638)),0)</f>
        <v>0.0908327707927258</v>
      </c>
      <c r="J638" s="10" t="n">
        <f aca="false">IF(B638="mass",D638/I638,0)</f>
        <v>0.137615531166875</v>
      </c>
      <c r="K638" s="7" t="str">
        <f aca="false">IF(B638="mass",COMPLEX(COSH(J638)*COS(J638),SINH(J638)*SIN(J638)),COMPLEX(1,0))</f>
        <v>0.999940225193105+0.0189379589504749i</v>
      </c>
      <c r="L638" s="7" t="str">
        <f aca="false">IF(B638="mass",COMPLEX(-I638/(2*E638)*(SINH(J638)*COS(J638)+COSH(J638)*SIN(J638)),-I638/(2*E638)*(COSH(J638)*SIN(J638)-SINH(J638)*COS(J638))),COMPLEX(-H638,0))</f>
        <v>-0.0595230979186955-0.000375754009423939i</v>
      </c>
      <c r="M638" s="7" t="str">
        <f aca="false">IF(B638="mass",COMPLEX(-E638/I638*(SINH(J638)*COS(J638)-COSH(J638)*SIN(J638)),-E638/I638*(SINH(J638)*COS(J638)+COSH(J638)*SIN(J638))),COMPLEX(0,0))</f>
        <v>0.00401686359323574-0.636310349296785i</v>
      </c>
      <c r="N638" s="7" t="str">
        <f aca="false">K638</f>
        <v>0.999940225193105+0.0189379589504749i</v>
      </c>
      <c r="O638" s="7" t="str">
        <f aca="false">IMSUM(IMPRODUCT(K638,O637),IMPRODUCT(L638,Q637))</f>
        <v>0.967804967218552+0.580588636202659i</v>
      </c>
      <c r="P638" s="7" t="str">
        <f aca="false">IMSUM(IMPRODUCT(K638,P637),IMPRODUCT(L638,R637))</f>
        <v>-0.559638055236144-0.145983537885353i</v>
      </c>
      <c r="Q638" s="7" t="str">
        <f aca="false">IMSUM(IMPRODUCT(M638,O637),IMPRODUCT(N638,Q637))</f>
        <v>0.409967747397177-2.38813498906694i</v>
      </c>
      <c r="R638" s="7" t="str">
        <f aca="false">IMSUM(IMPRODUCT(M638,P637),IMPRODUCT(N638,R637))</f>
        <v>0.902513341621732+0.777691491639196i</v>
      </c>
      <c r="S638" s="10" t="n">
        <f aca="false">IF(B638="mass",D638/E638,H638)</f>
        <v>0.0595238095238095</v>
      </c>
      <c r="T638" s="12" t="n">
        <f aca="false">IF(B638="mass",F638*G638*D638,0)</f>
        <v>8750</v>
      </c>
    </row>
    <row r="639" customFormat="false" ht="15" hidden="false" customHeight="false" outlineLevel="0" collapsed="false">
      <c r="A639" s="7" t="s">
        <v>46</v>
      </c>
      <c r="B639" s="7" t="str">
        <f aca="false">IF(C639="","none",IF(C639="Cavity","res","mass"))</f>
        <v>none</v>
      </c>
      <c r="C639" s="7" t="str">
        <f aca="false">IF(INDEX(Library!$M$5:$M$34,$U$633)="","",INDEX(Library!$M$5:$M$34,$U$633))</f>
        <v/>
      </c>
      <c r="D639" s="11" t="n">
        <f aca="false">IF(B639="mass",INDEX(Library!$N$5:$N$34,$U$633)/1000,0)</f>
        <v>0</v>
      </c>
      <c r="E639" s="7" t="n">
        <f aca="false">IF(B639="mass",INDEX(Materials!$B$5:$B$28,MATCH(C639,Materials!$A$5:$A$28,0)),0)</f>
        <v>0</v>
      </c>
      <c r="F639" s="7" t="n">
        <f aca="false">IF(B639="mass",INDEX(Materials!$C$5:$C$28,MATCH(C639,Materials!$A$5:$A$28,0)),0)</f>
        <v>0</v>
      </c>
      <c r="G639" s="7" t="n">
        <f aca="false">IF(B639="mass",INDEX(Materials!$D$5:$D$28,MATCH(C639,Materials!$A$5:$A$28,0)),0)</f>
        <v>0</v>
      </c>
      <c r="H639" s="10" t="n">
        <f aca="false">IF(B639="res",INDEX(Library!$N$5:$N$34,$U$633),0)</f>
        <v>0</v>
      </c>
      <c r="I639" s="11" t="n">
        <f aca="false">IF(B639="mass",SQRT(E639*($B$2*3600)/(PI()*F639*G639)),0)</f>
        <v>0</v>
      </c>
      <c r="J639" s="10" t="n">
        <f aca="false">IF(B639="mass",D639/I639,0)</f>
        <v>0</v>
      </c>
      <c r="K639" s="7" t="str">
        <f aca="false">IF(B639="mass",COMPLEX(COSH(J639)*COS(J639),SINH(J639)*SIN(J639)),COMPLEX(1,0))</f>
        <v>1</v>
      </c>
      <c r="L639" s="7" t="str">
        <f aca="false">IF(B639="mass",COMPLEX(-I639/(2*E639)*(SINH(J639)*COS(J639)+COSH(J639)*SIN(J639)),-I639/(2*E639)*(COSH(J639)*SIN(J639)-SINH(J639)*COS(J639))),COMPLEX(-H639,0))</f>
        <v>-0</v>
      </c>
      <c r="M639" s="7" t="str">
        <f aca="false">IF(B639="mass",COMPLEX(-E639/I639*(SINH(J639)*COS(J639)-COSH(J639)*SIN(J639)),-E639/I639*(SINH(J639)*COS(J639)+COSH(J639)*SIN(J639))),COMPLEX(0,0))</f>
        <v>0</v>
      </c>
      <c r="N639" s="7" t="str">
        <f aca="false">K639</f>
        <v>1</v>
      </c>
      <c r="O639" s="7" t="str">
        <f aca="false">IMSUM(IMPRODUCT(K639,O638),IMPRODUCT(L639,Q638))</f>
        <v>0.967804967218552+0.580588636202659i</v>
      </c>
      <c r="P639" s="7" t="str">
        <f aca="false">IMSUM(IMPRODUCT(K639,P638),IMPRODUCT(L639,R638))</f>
        <v>-0.559638055236144-0.145983537885353i</v>
      </c>
      <c r="Q639" s="7" t="str">
        <f aca="false">IMSUM(IMPRODUCT(M639,O638),IMPRODUCT(N639,Q638))</f>
        <v>0.409967747397177-2.38813498906694i</v>
      </c>
      <c r="R639" s="7" t="str">
        <f aca="false">IMSUM(IMPRODUCT(M639,P638),IMPRODUCT(N639,R638))</f>
        <v>0.902513341621732+0.777691491639196i</v>
      </c>
      <c r="S639" s="10" t="n">
        <f aca="false">IF(B639="mass",D639/E639,H639)</f>
        <v>0</v>
      </c>
      <c r="T639" s="12" t="n">
        <f aca="false">IF(B639="mass",F639*G639*D639,0)</f>
        <v>0</v>
      </c>
    </row>
    <row r="640" customFormat="false" ht="15" hidden="false" customHeight="false" outlineLevel="0" collapsed="false">
      <c r="A640" s="7" t="s">
        <v>47</v>
      </c>
      <c r="B640" s="7" t="str">
        <f aca="false">IF(C640="","none",IF(C640="Cavity","res","mass"))</f>
        <v>none</v>
      </c>
      <c r="C640" s="7" t="str">
        <f aca="false">IF(INDEX(Library!$O$5:$O$34,$U$633)="","",INDEX(Library!$O$5:$O$34,$U$633))</f>
        <v/>
      </c>
      <c r="D640" s="11" t="n">
        <f aca="false">IF(B640="mass",INDEX(Library!$P$5:$P$34,$U$633)/1000,0)</f>
        <v>0</v>
      </c>
      <c r="E640" s="7" t="n">
        <f aca="false">IF(B640="mass",INDEX(Materials!$B$5:$B$28,MATCH(C640,Materials!$A$5:$A$28,0)),0)</f>
        <v>0</v>
      </c>
      <c r="F640" s="7" t="n">
        <f aca="false">IF(B640="mass",INDEX(Materials!$C$5:$C$28,MATCH(C640,Materials!$A$5:$A$28,0)),0)</f>
        <v>0</v>
      </c>
      <c r="G640" s="7" t="n">
        <f aca="false">IF(B640="mass",INDEX(Materials!$D$5:$D$28,MATCH(C640,Materials!$A$5:$A$28,0)),0)</f>
        <v>0</v>
      </c>
      <c r="H640" s="10" t="n">
        <f aca="false">IF(B640="res",INDEX(Library!$P$5:$P$34,$U$633),0)</f>
        <v>0</v>
      </c>
      <c r="I640" s="11" t="n">
        <f aca="false">IF(B640="mass",SQRT(E640*($B$2*3600)/(PI()*F640*G640)),0)</f>
        <v>0</v>
      </c>
      <c r="J640" s="10" t="n">
        <f aca="false">IF(B640="mass",D640/I640,0)</f>
        <v>0</v>
      </c>
      <c r="K640" s="7" t="str">
        <f aca="false">IF(B640="mass",COMPLEX(COSH(J640)*COS(J640),SINH(J640)*SIN(J640)),COMPLEX(1,0))</f>
        <v>1</v>
      </c>
      <c r="L640" s="7" t="str">
        <f aca="false">IF(B640="mass",COMPLEX(-I640/(2*E640)*(SINH(J640)*COS(J640)+COSH(J640)*SIN(J640)),-I640/(2*E640)*(COSH(J640)*SIN(J640)-SINH(J640)*COS(J640))),COMPLEX(-H640,0))</f>
        <v>-0</v>
      </c>
      <c r="M640" s="7" t="str">
        <f aca="false">IF(B640="mass",COMPLEX(-E640/I640*(SINH(J640)*COS(J640)-COSH(J640)*SIN(J640)),-E640/I640*(SINH(J640)*COS(J640)+COSH(J640)*SIN(J640))),COMPLEX(0,0))</f>
        <v>0</v>
      </c>
      <c r="N640" s="7" t="str">
        <f aca="false">K640</f>
        <v>1</v>
      </c>
      <c r="O640" s="7" t="str">
        <f aca="false">IMSUM(IMPRODUCT(K640,O639),IMPRODUCT(L640,Q639))</f>
        <v>0.967804967218552+0.580588636202659i</v>
      </c>
      <c r="P640" s="7" t="str">
        <f aca="false">IMSUM(IMPRODUCT(K640,P639),IMPRODUCT(L640,R639))</f>
        <v>-0.559638055236144-0.145983537885353i</v>
      </c>
      <c r="Q640" s="7" t="str">
        <f aca="false">IMSUM(IMPRODUCT(M640,O639),IMPRODUCT(N640,Q639))</f>
        <v>0.409967747397177-2.38813498906694i</v>
      </c>
      <c r="R640" s="7" t="str">
        <f aca="false">IMSUM(IMPRODUCT(M640,P639),IMPRODUCT(N640,R639))</f>
        <v>0.902513341621732+0.777691491639196i</v>
      </c>
      <c r="S640" s="10" t="n">
        <f aca="false">IF(B640="mass",D640/E640,H640)</f>
        <v>0</v>
      </c>
      <c r="T640" s="12" t="n">
        <f aca="false">IF(B640="mass",F640*G640*D640,0)</f>
        <v>0</v>
      </c>
    </row>
    <row r="641" customFormat="false" ht="15" hidden="false" customHeight="false" outlineLevel="0" collapsed="false">
      <c r="A641" s="7" t="s">
        <v>48</v>
      </c>
      <c r="B641" s="7" t="str">
        <f aca="false">IF(C641="","none",IF(C641="Cavity","res","mass"))</f>
        <v>none</v>
      </c>
      <c r="C641" s="7" t="str">
        <f aca="false">IF(INDEX(Library!$Q$5:$Q$34,$U$633)="","",INDEX(Library!$Q$5:$Q$34,$U$633))</f>
        <v/>
      </c>
      <c r="D641" s="11" t="n">
        <f aca="false">IF(B641="mass",INDEX(Library!$R$5:$R$34,$U$633)/1000,0)</f>
        <v>0</v>
      </c>
      <c r="E641" s="7" t="n">
        <f aca="false">IF(B641="mass",INDEX(Materials!$B$5:$B$28,MATCH(C641,Materials!$A$5:$A$28,0)),0)</f>
        <v>0</v>
      </c>
      <c r="F641" s="7" t="n">
        <f aca="false">IF(B641="mass",INDEX(Materials!$C$5:$C$28,MATCH(C641,Materials!$A$5:$A$28,0)),0)</f>
        <v>0</v>
      </c>
      <c r="G641" s="7" t="n">
        <f aca="false">IF(B641="mass",INDEX(Materials!$D$5:$D$28,MATCH(C641,Materials!$A$5:$A$28,0)),0)</f>
        <v>0</v>
      </c>
      <c r="H641" s="10" t="n">
        <f aca="false">IF(B641="res",INDEX(Library!$R$5:$R$34,$U$633),0)</f>
        <v>0</v>
      </c>
      <c r="I641" s="11" t="n">
        <f aca="false">IF(B641="mass",SQRT(E641*($B$2*3600)/(PI()*F641*G641)),0)</f>
        <v>0</v>
      </c>
      <c r="J641" s="10" t="n">
        <f aca="false">IF(B641="mass",D641/I641,0)</f>
        <v>0</v>
      </c>
      <c r="K641" s="7" t="str">
        <f aca="false">IF(B641="mass",COMPLEX(COSH(J641)*COS(J641),SINH(J641)*SIN(J641)),COMPLEX(1,0))</f>
        <v>1</v>
      </c>
      <c r="L641" s="7" t="str">
        <f aca="false">IF(B641="mass",COMPLEX(-I641/(2*E641)*(SINH(J641)*COS(J641)+COSH(J641)*SIN(J641)),-I641/(2*E641)*(COSH(J641)*SIN(J641)-SINH(J641)*COS(J641))),COMPLEX(-H641,0))</f>
        <v>-0</v>
      </c>
      <c r="M641" s="7" t="str">
        <f aca="false">IF(B641="mass",COMPLEX(-E641/I641*(SINH(J641)*COS(J641)-COSH(J641)*SIN(J641)),-E641/I641*(SINH(J641)*COS(J641)+COSH(J641)*SIN(J641))),COMPLEX(0,0))</f>
        <v>0</v>
      </c>
      <c r="N641" s="7" t="str">
        <f aca="false">K641</f>
        <v>1</v>
      </c>
      <c r="O641" s="7" t="str">
        <f aca="false">IMSUM(IMPRODUCT(K641,O640),IMPRODUCT(L641,Q640))</f>
        <v>0.967804967218552+0.580588636202659i</v>
      </c>
      <c r="P641" s="7" t="str">
        <f aca="false">IMSUM(IMPRODUCT(K641,P640),IMPRODUCT(L641,R640))</f>
        <v>-0.559638055236144-0.145983537885353i</v>
      </c>
      <c r="Q641" s="7" t="str">
        <f aca="false">IMSUM(IMPRODUCT(M641,O640),IMPRODUCT(N641,Q640))</f>
        <v>0.409967747397177-2.38813498906694i</v>
      </c>
      <c r="R641" s="7" t="str">
        <f aca="false">IMSUM(IMPRODUCT(M641,P640),IMPRODUCT(N641,R640))</f>
        <v>0.902513341621732+0.777691491639196i</v>
      </c>
      <c r="S641" s="10" t="n">
        <f aca="false">IF(B641="mass",D641/E641,H641)</f>
        <v>0</v>
      </c>
      <c r="T641" s="12" t="n">
        <f aca="false">IF(B641="mass",F641*G641*D641,0)</f>
        <v>0</v>
      </c>
    </row>
    <row r="642" customFormat="false" ht="15" hidden="false" customHeight="false" outlineLevel="0" collapsed="false">
      <c r="A642" s="7" t="s">
        <v>49</v>
      </c>
      <c r="B642" s="7" t="str">
        <f aca="false">IF(C642="","none",IF(C642="Cavity","res","mass"))</f>
        <v>none</v>
      </c>
      <c r="C642" s="7" t="str">
        <f aca="false">IF(INDEX(Library!$S$5:$S$34,$U$633)="","",INDEX(Library!$S$5:$S$34,$U$633))</f>
        <v/>
      </c>
      <c r="D642" s="11" t="n">
        <f aca="false">IF(B642="mass",INDEX(Library!$T$5:$T$34,$U$633)/1000,0)</f>
        <v>0</v>
      </c>
      <c r="E642" s="7" t="n">
        <f aca="false">IF(B642="mass",INDEX(Materials!$B$5:$B$28,MATCH(C642,Materials!$A$5:$A$28,0)),0)</f>
        <v>0</v>
      </c>
      <c r="F642" s="7" t="n">
        <f aca="false">IF(B642="mass",INDEX(Materials!$C$5:$C$28,MATCH(C642,Materials!$A$5:$A$28,0)),0)</f>
        <v>0</v>
      </c>
      <c r="G642" s="7" t="n">
        <f aca="false">IF(B642="mass",INDEX(Materials!$D$5:$D$28,MATCH(C642,Materials!$A$5:$A$28,0)),0)</f>
        <v>0</v>
      </c>
      <c r="H642" s="10" t="n">
        <f aca="false">IF(B642="res",INDEX(Library!$T$5:$T$34,$U$633),0)</f>
        <v>0</v>
      </c>
      <c r="I642" s="11" t="n">
        <f aca="false">IF(B642="mass",SQRT(E642*($B$2*3600)/(PI()*F642*G642)),0)</f>
        <v>0</v>
      </c>
      <c r="J642" s="10" t="n">
        <f aca="false">IF(B642="mass",D642/I642,0)</f>
        <v>0</v>
      </c>
      <c r="K642" s="7" t="str">
        <f aca="false">IF(B642="mass",COMPLEX(COSH(J642)*COS(J642),SINH(J642)*SIN(J642)),COMPLEX(1,0))</f>
        <v>1</v>
      </c>
      <c r="L642" s="7" t="str">
        <f aca="false">IF(B642="mass",COMPLEX(-I642/(2*E642)*(SINH(J642)*COS(J642)+COSH(J642)*SIN(J642)),-I642/(2*E642)*(COSH(J642)*SIN(J642)-SINH(J642)*COS(J642))),COMPLEX(-H642,0))</f>
        <v>-0</v>
      </c>
      <c r="M642" s="7" t="str">
        <f aca="false">IF(B642="mass",COMPLEX(-E642/I642*(SINH(J642)*COS(J642)-COSH(J642)*SIN(J642)),-E642/I642*(SINH(J642)*COS(J642)+COSH(J642)*SIN(J642))),COMPLEX(0,0))</f>
        <v>0</v>
      </c>
      <c r="N642" s="7" t="str">
        <f aca="false">K642</f>
        <v>1</v>
      </c>
      <c r="O642" s="7" t="str">
        <f aca="false">IMSUM(IMPRODUCT(K642,O641),IMPRODUCT(L642,Q641))</f>
        <v>0.967804967218552+0.580588636202659i</v>
      </c>
      <c r="P642" s="7" t="str">
        <f aca="false">IMSUM(IMPRODUCT(K642,P641),IMPRODUCT(L642,R641))</f>
        <v>-0.559638055236144-0.145983537885353i</v>
      </c>
      <c r="Q642" s="7" t="str">
        <f aca="false">IMSUM(IMPRODUCT(M642,O641),IMPRODUCT(N642,Q641))</f>
        <v>0.409967747397177-2.38813498906694i</v>
      </c>
      <c r="R642" s="7" t="str">
        <f aca="false">IMSUM(IMPRODUCT(M642,P641),IMPRODUCT(N642,R641))</f>
        <v>0.902513341621732+0.777691491639196i</v>
      </c>
      <c r="S642" s="10" t="n">
        <f aca="false">IF(B642="mass",D642/E642,H642)</f>
        <v>0</v>
      </c>
      <c r="T642" s="12" t="n">
        <f aca="false">IF(B642="mass",F642*G642*D642,0)</f>
        <v>0</v>
      </c>
    </row>
    <row r="643" customFormat="false" ht="15" hidden="false" customHeight="false" outlineLevel="0" collapsed="false">
      <c r="A643" s="7" t="s">
        <v>50</v>
      </c>
      <c r="B643" s="7" t="str">
        <f aca="false">IF(C643="","none",IF(C643="Cavity","res","mass"))</f>
        <v>none</v>
      </c>
      <c r="C643" s="7" t="str">
        <f aca="false">IF(INDEX(Library!$U$5:$U$34,$U$633)="","",INDEX(Library!$U$5:$U$34,$U$633))</f>
        <v/>
      </c>
      <c r="D643" s="11" t="n">
        <f aca="false">IF(B643="mass",INDEX(Library!$V$5:$V$34,$U$633)/1000,0)</f>
        <v>0</v>
      </c>
      <c r="E643" s="7" t="n">
        <f aca="false">IF(B643="mass",INDEX(Materials!$B$5:$B$28,MATCH(C643,Materials!$A$5:$A$28,0)),0)</f>
        <v>0</v>
      </c>
      <c r="F643" s="7" t="n">
        <f aca="false">IF(B643="mass",INDEX(Materials!$C$5:$C$28,MATCH(C643,Materials!$A$5:$A$28,0)),0)</f>
        <v>0</v>
      </c>
      <c r="G643" s="7" t="n">
        <f aca="false">IF(B643="mass",INDEX(Materials!$D$5:$D$28,MATCH(C643,Materials!$A$5:$A$28,0)),0)</f>
        <v>0</v>
      </c>
      <c r="H643" s="10" t="n">
        <f aca="false">IF(B643="res",INDEX(Library!$V$5:$V$34,$U$633),0)</f>
        <v>0</v>
      </c>
      <c r="I643" s="11" t="n">
        <f aca="false">IF(B643="mass",SQRT(E643*($B$2*3600)/(PI()*F643*G643)),0)</f>
        <v>0</v>
      </c>
      <c r="J643" s="10" t="n">
        <f aca="false">IF(B643="mass",D643/I643,0)</f>
        <v>0</v>
      </c>
      <c r="K643" s="7" t="str">
        <f aca="false">IF(B643="mass",COMPLEX(COSH(J643)*COS(J643),SINH(J643)*SIN(J643)),COMPLEX(1,0))</f>
        <v>1</v>
      </c>
      <c r="L643" s="7" t="str">
        <f aca="false">IF(B643="mass",COMPLEX(-I643/(2*E643)*(SINH(J643)*COS(J643)+COSH(J643)*SIN(J643)),-I643/(2*E643)*(COSH(J643)*SIN(J643)-SINH(J643)*COS(J643))),COMPLEX(-H643,0))</f>
        <v>-0</v>
      </c>
      <c r="M643" s="7" t="str">
        <f aca="false">IF(B643="mass",COMPLEX(-E643/I643*(SINH(J643)*COS(J643)-COSH(J643)*SIN(J643)),-E643/I643*(SINH(J643)*COS(J643)+COSH(J643)*SIN(J643))),COMPLEX(0,0))</f>
        <v>0</v>
      </c>
      <c r="N643" s="7" t="str">
        <f aca="false">K643</f>
        <v>1</v>
      </c>
      <c r="O643" s="7" t="str">
        <f aca="false">IMSUM(IMPRODUCT(K643,O642),IMPRODUCT(L643,Q642))</f>
        <v>0.967804967218552+0.580588636202659i</v>
      </c>
      <c r="P643" s="7" t="str">
        <f aca="false">IMSUM(IMPRODUCT(K643,P642),IMPRODUCT(L643,R642))</f>
        <v>-0.559638055236144-0.145983537885353i</v>
      </c>
      <c r="Q643" s="7" t="str">
        <f aca="false">IMSUM(IMPRODUCT(M643,O642),IMPRODUCT(N643,Q642))</f>
        <v>0.409967747397177-2.38813498906694i</v>
      </c>
      <c r="R643" s="7" t="str">
        <f aca="false">IMSUM(IMPRODUCT(M643,P642),IMPRODUCT(N643,R642))</f>
        <v>0.902513341621732+0.777691491639196i</v>
      </c>
      <c r="S643" s="10" t="n">
        <f aca="false">IF(B643="mass",D643/E643,H643)</f>
        <v>0</v>
      </c>
      <c r="T643" s="12" t="n">
        <f aca="false">IF(B643="mass",F643*G643*D643,0)</f>
        <v>0</v>
      </c>
    </row>
    <row r="644" customFormat="false" ht="15" hidden="false" customHeight="false" outlineLevel="0" collapsed="false">
      <c r="A644" s="7" t="s">
        <v>51</v>
      </c>
      <c r="B644" s="7" t="str">
        <f aca="false">IF($W$633="ground","mass",IF($W$633="adiabatic","res","none"))</f>
        <v>none</v>
      </c>
      <c r="C644" s="7" t="str">
        <f aca="false">IF($W$633="ground","clay soil","")</f>
        <v/>
      </c>
      <c r="D644" s="11" t="n">
        <f aca="false">IF(B644="mass",1,0)</f>
        <v>0</v>
      </c>
      <c r="E644" s="7" t="n">
        <f aca="false">IF(B644="mass",INDEX(Materials!$B$5:$B$28,MATCH(C644,Materials!$A$5:$A$28,0)),0)</f>
        <v>0</v>
      </c>
      <c r="F644" s="7" t="n">
        <f aca="false">IF(B644="mass",INDEX(Materials!$C$5:$C$28,MATCH(C644,Materials!$A$5:$A$28,0)),0)</f>
        <v>0</v>
      </c>
      <c r="G644" s="7" t="n">
        <f aca="false">IF(B644="mass",INDEX(Materials!$D$5:$D$28,MATCH(C644,Materials!$A$5:$A$28,0)),0)</f>
        <v>0</v>
      </c>
      <c r="H644" s="12" t="n">
        <f aca="false">IF(B644="res",1000000,0)</f>
        <v>0</v>
      </c>
      <c r="I644" s="11" t="n">
        <f aca="false">IF(B644="mass",SQRT(E644*($B$2*3600)/(PI()*F644*G644)),0)</f>
        <v>0</v>
      </c>
      <c r="J644" s="10" t="n">
        <f aca="false">IF(B644="mass",D644/I644,0)</f>
        <v>0</v>
      </c>
      <c r="K644" s="7" t="str">
        <f aca="false">IF(B644="mass",COMPLEX(COSH(J644)*COS(J644),SINH(J644)*SIN(J644)),COMPLEX(1,0))</f>
        <v>1</v>
      </c>
      <c r="L644" s="7" t="str">
        <f aca="false">IF(B644="mass",COMPLEX(-I644/(2*E644)*(SINH(J644)*COS(J644)+COSH(J644)*SIN(J644)),-I644/(2*E644)*(COSH(J644)*SIN(J644)-SINH(J644)*COS(J644))),COMPLEX(-H644,0))</f>
        <v>-0</v>
      </c>
      <c r="M644" s="7" t="str">
        <f aca="false">IF(B644="mass",COMPLEX(-E644/I644*(SINH(J644)*COS(J644)-COSH(J644)*SIN(J644)),-E644/I644*(SINH(J644)*COS(J644)+COSH(J644)*SIN(J644))),COMPLEX(0,0))</f>
        <v>0</v>
      </c>
      <c r="N644" s="7" t="str">
        <f aca="false">K644</f>
        <v>1</v>
      </c>
      <c r="O644" s="7" t="str">
        <f aca="false">IMSUM(IMPRODUCT(K644,O643),IMPRODUCT(L644,Q643))</f>
        <v>0.967804967218552+0.580588636202659i</v>
      </c>
      <c r="P644" s="7" t="str">
        <f aca="false">IMSUM(IMPRODUCT(K644,P643),IMPRODUCT(L644,R643))</f>
        <v>-0.559638055236144-0.145983537885353i</v>
      </c>
      <c r="Q644" s="7" t="str">
        <f aca="false">IMSUM(IMPRODUCT(M644,O643),IMPRODUCT(N644,Q643))</f>
        <v>0.409967747397177-2.38813498906694i</v>
      </c>
      <c r="R644" s="7" t="str">
        <f aca="false">IMSUM(IMPRODUCT(M644,P643),IMPRODUCT(N644,R643))</f>
        <v>0.902513341621732+0.777691491639196i</v>
      </c>
      <c r="S644" s="10" t="n">
        <f aca="false">IF(B644="mass",D644/E644,H644)</f>
        <v>0</v>
      </c>
      <c r="T644" s="12" t="n">
        <f aca="false">IF(B644="mass",F644*G644*D644,0)</f>
        <v>0</v>
      </c>
    </row>
    <row r="645" customFormat="false" ht="15" hidden="false" customHeight="false" outlineLevel="0" collapsed="false">
      <c r="A645" s="7" t="s">
        <v>52</v>
      </c>
      <c r="B645" s="7" t="s">
        <v>42</v>
      </c>
      <c r="H645" s="10" t="n">
        <f aca="false">IF($W$633="ext",0.04,IF($W$633="room",$Y$633,0))</f>
        <v>0.17</v>
      </c>
      <c r="I645" s="11" t="n">
        <f aca="false">IF(B645="mass",SQRT(E645*($B$2*3600)/(PI()*F645*G645)),0)</f>
        <v>0</v>
      </c>
      <c r="J645" s="10" t="n">
        <f aca="false">IF(B645="mass",D645/I645,0)</f>
        <v>0</v>
      </c>
      <c r="K645" s="7" t="str">
        <f aca="false">IF(B645="mass",COMPLEX(COSH(J645)*COS(J645),SINH(J645)*SIN(J645)),COMPLEX(1,0))</f>
        <v>1</v>
      </c>
      <c r="L645" s="7" t="str">
        <f aca="false">IF(B645="mass",COMPLEX(-I645/(2*E645)*(SINH(J645)*COS(J645)+COSH(J645)*SIN(J645)),-I645/(2*E645)*(COSH(J645)*SIN(J645)-SINH(J645)*COS(J645))),COMPLEX(-H645,0))</f>
        <v>-0.17</v>
      </c>
      <c r="M645" s="7" t="str">
        <f aca="false">IF(B645="mass",COMPLEX(-E645/I645*(SINH(J645)*COS(J645)-COSH(J645)*SIN(J645)),-E645/I645*(SINH(J645)*COS(J645)+COSH(J645)*SIN(J645))),COMPLEX(0,0))</f>
        <v>0</v>
      </c>
      <c r="N645" s="7" t="str">
        <f aca="false">K645</f>
        <v>1</v>
      </c>
      <c r="O645" s="7" t="str">
        <f aca="false">IMSUM(IMPRODUCT(K645,O644),IMPRODUCT(L645,Q644))</f>
        <v>0.898110450161032+0.986571584344039i</v>
      </c>
      <c r="P645" s="7" t="str">
        <f aca="false">IMSUM(IMPRODUCT(K645,P644),IMPRODUCT(L645,R644))</f>
        <v>-0.713065323311838-0.278191091464016i</v>
      </c>
      <c r="Q645" s="7" t="str">
        <f aca="false">IMSUM(IMPRODUCT(M645,O644),IMPRODUCT(N645,Q644))</f>
        <v>0.409967747397177-2.38813498906694i</v>
      </c>
      <c r="R645" s="7" t="str">
        <f aca="false">IMSUM(IMPRODUCT(M645,P644),IMPRODUCT(N645,R644))</f>
        <v>0.902513341621732+0.777691491639196i</v>
      </c>
      <c r="S645" s="10" t="n">
        <f aca="false">IF(B645="mass",D645/E645,H645)</f>
        <v>0.17</v>
      </c>
      <c r="T645" s="12" t="n">
        <f aca="false">IF(B645="mass",F645*G645*D645,0)</f>
        <v>0</v>
      </c>
    </row>
    <row r="646" customFormat="false" ht="15" hidden="false" customHeight="false" outlineLevel="0" collapsed="false">
      <c r="A646" s="9" t="s">
        <v>53</v>
      </c>
      <c r="B646" s="13" t="str">
        <f aca="false">IF(OR($W$633="ext",$W$633="ground"),1/SUM(S635:S645),"–")</f>
        <v>–</v>
      </c>
      <c r="C646" s="9" t="s">
        <v>54</v>
      </c>
      <c r="D646" s="13" t="n">
        <f aca="false">IMABS(IMDIV(IMPRODUCT(O645,COMPLEX(-1,0)),P645))</f>
        <v>1.7430379259169</v>
      </c>
      <c r="E646" s="9" t="s">
        <v>55</v>
      </c>
      <c r="F646" s="14" t="n">
        <f aca="false">IMARGUMENT(IMDIV(IMPRODUCT(O645,COMPLEX(-1,0)),P645))*$B$2/(2*PI())</f>
        <v>1.75832414574478</v>
      </c>
      <c r="G646" s="9" t="s">
        <v>56</v>
      </c>
      <c r="H646" s="13" t="str">
        <f aca="false">IF($W$633="ext",IMABS(IMDIV(COMPLEX(-1,0),P645))*SUM(S635:S645),"–")</f>
        <v>–</v>
      </c>
      <c r="I646" s="9" t="s">
        <v>57</v>
      </c>
      <c r="J646" s="14" t="str">
        <f aca="false">IF($W$633="ext",MOD(-IMARGUMENT(IMDIV(COMPLEX(-1,0),P645))*$B$2/(2*PI()),24),"–")</f>
        <v>–</v>
      </c>
      <c r="K646" s="9" t="s">
        <v>58</v>
      </c>
      <c r="L646" s="15" t="n">
        <f aca="false">($B$2*3600)/(2*PI())*IMABS(IMDIV(IMSUB(O645,COMPLEX(1,0)),P645))/1000</f>
        <v>17.8185428670295</v>
      </c>
      <c r="M646" s="9" t="s">
        <v>59</v>
      </c>
      <c r="N646" s="15" t="n">
        <f aca="false">SUM(T636:T643)/1000</f>
        <v>33.06</v>
      </c>
      <c r="O646" s="9" t="s">
        <v>60</v>
      </c>
      <c r="P646" s="16" t="n">
        <f aca="false">SUM(S636:S643)</f>
        <v>0.396666666666667</v>
      </c>
    </row>
    <row r="648" customFormat="false" ht="15" hidden="false" customHeight="false" outlineLevel="0" collapsed="false">
      <c r="A648" s="4" t="s">
        <v>131</v>
      </c>
    </row>
    <row r="649" customFormat="false" ht="15" hidden="false" customHeight="false" outlineLevel="0" collapsed="false">
      <c r="A649" s="9"/>
      <c r="B649" s="9" t="s">
        <v>62</v>
      </c>
      <c r="C649" s="9" t="s">
        <v>63</v>
      </c>
      <c r="D649" s="9"/>
      <c r="E649" s="9"/>
      <c r="F649" s="9"/>
      <c r="G649" s="9"/>
      <c r="H649" s="9"/>
      <c r="I649" s="9"/>
      <c r="J649" s="9"/>
      <c r="K649" s="9" t="s">
        <v>32</v>
      </c>
      <c r="L649" s="9" t="s">
        <v>33</v>
      </c>
      <c r="M649" s="9" t="s">
        <v>34</v>
      </c>
      <c r="N649" s="9" t="s">
        <v>35</v>
      </c>
      <c r="O649" s="9" t="s">
        <v>36</v>
      </c>
      <c r="P649" s="9" t="s">
        <v>37</v>
      </c>
      <c r="Q649" s="9" t="s">
        <v>38</v>
      </c>
      <c r="R649" s="9" t="s">
        <v>39</v>
      </c>
    </row>
    <row r="650" customFormat="false" ht="15" hidden="false" customHeight="false" outlineLevel="0" collapsed="false">
      <c r="A650" s="7" t="s">
        <v>22</v>
      </c>
      <c r="B650" s="7" t="s">
        <v>42</v>
      </c>
      <c r="C650" s="10" t="n">
        <f aca="false">$Y$633</f>
        <v>0.17</v>
      </c>
      <c r="K650" s="7" t="str">
        <f aca="false">COMPLEX(1,0)</f>
        <v>1</v>
      </c>
      <c r="L650" s="7" t="str">
        <f aca="false">COMPLEX(-C650,0)</f>
        <v>-0.17</v>
      </c>
      <c r="M650" s="7" t="str">
        <f aca="false">COMPLEX(0,0)</f>
        <v>0</v>
      </c>
      <c r="N650" s="7" t="str">
        <f aca="false">COMPLEX(1,0)</f>
        <v>1</v>
      </c>
      <c r="O650" s="7" t="str">
        <f aca="false">K650</f>
        <v>1</v>
      </c>
      <c r="P650" s="7" t="str">
        <f aca="false">L650</f>
        <v>-0.17</v>
      </c>
      <c r="Q650" s="7" t="str">
        <f aca="false">M650</f>
        <v>0</v>
      </c>
      <c r="R650" s="7" t="str">
        <f aca="false">N650</f>
        <v>1</v>
      </c>
    </row>
    <row r="651" customFormat="false" ht="15" hidden="false" customHeight="false" outlineLevel="0" collapsed="false">
      <c r="A651" s="7" t="s">
        <v>64</v>
      </c>
      <c r="B651" s="7" t="s">
        <v>65</v>
      </c>
      <c r="C651" s="10" t="n">
        <f aca="false">INDEX(Classes!$B$5:$F$9,MATCH(Engine!$C$632,Classes!$A$5:$A$9,0),5)*(N646*1000)</f>
        <v>4132.5</v>
      </c>
      <c r="K651" s="7" t="str">
        <f aca="false">COMPLEX(1,0)</f>
        <v>1</v>
      </c>
      <c r="L651" s="7" t="str">
        <f aca="false">COMPLEX(0,0)</f>
        <v>0</v>
      </c>
      <c r="M651" s="7" t="str">
        <f aca="false">COMPLEX(0,-(2*PI()/($B$2*3600))*C651)</f>
        <v>-0.300523880577774i</v>
      </c>
      <c r="N651" s="7" t="str">
        <f aca="false">COMPLEX(1,0)</f>
        <v>1</v>
      </c>
      <c r="O651" s="7" t="str">
        <f aca="false">IMSUM(IMPRODUCT(K651,O650),IMPRODUCT(L651,Q650))</f>
        <v>1</v>
      </c>
      <c r="P651" s="7" t="str">
        <f aca="false">IMSUM(IMPRODUCT(K651,P650),IMPRODUCT(L651,R650))</f>
        <v>-0.17</v>
      </c>
      <c r="Q651" s="7" t="str">
        <f aca="false">IMSUM(IMPRODUCT(M651,O650),IMPRODUCT(N651,Q650))</f>
        <v>-0.300523880577774i</v>
      </c>
      <c r="R651" s="7" t="str">
        <f aca="false">IMSUM(IMPRODUCT(M651,P650),IMPRODUCT(N651,R650))</f>
        <v>1+0.0510890596982216i</v>
      </c>
    </row>
    <row r="652" customFormat="false" ht="15" hidden="false" customHeight="false" outlineLevel="0" collapsed="false">
      <c r="A652" s="7" t="s">
        <v>66</v>
      </c>
      <c r="B652" s="7" t="s">
        <v>42</v>
      </c>
      <c r="C652" s="10" t="n">
        <f aca="false">P646/6</f>
        <v>0.0661111111111111</v>
      </c>
      <c r="K652" s="7" t="str">
        <f aca="false">COMPLEX(1,0)</f>
        <v>1</v>
      </c>
      <c r="L652" s="7" t="str">
        <f aca="false">COMPLEX(-C652,0)</f>
        <v>-0.0661111111111111</v>
      </c>
      <c r="M652" s="7" t="str">
        <f aca="false">COMPLEX(0,0)</f>
        <v>0</v>
      </c>
      <c r="N652" s="7" t="str">
        <f aca="false">COMPLEX(1,0)</f>
        <v>1</v>
      </c>
      <c r="O652" s="7" t="str">
        <f aca="false">IMSUM(IMPRODUCT(K652,O651),IMPRODUCT(L652,Q651))</f>
        <v>1+0.0198679676604195i</v>
      </c>
      <c r="P652" s="7" t="str">
        <f aca="false">IMSUM(IMPRODUCT(K652,P651),IMPRODUCT(L652,R651))</f>
        <v>-0.236111111111111-0.00337755450227132i</v>
      </c>
      <c r="Q652" s="7" t="str">
        <f aca="false">IMSUM(IMPRODUCT(M652,O651),IMPRODUCT(N652,Q651))</f>
        <v>-0.300523880577774i</v>
      </c>
      <c r="R652" s="7" t="str">
        <f aca="false">IMSUM(IMPRODUCT(M652,P651),IMPRODUCT(N652,R651))</f>
        <v>1+0.0510890596982216i</v>
      </c>
    </row>
    <row r="653" customFormat="false" ht="15" hidden="false" customHeight="false" outlineLevel="0" collapsed="false">
      <c r="A653" s="7" t="s">
        <v>67</v>
      </c>
      <c r="B653" s="7" t="s">
        <v>65</v>
      </c>
      <c r="C653" s="10" t="n">
        <f aca="false">INDEX(Classes!$B$5:$F$9,MATCH(Engine!$C$632,Classes!$A$5:$A$9,0),4)*(N646*1000)</f>
        <v>8265</v>
      </c>
      <c r="K653" s="7" t="str">
        <f aca="false">COMPLEX(1,0)</f>
        <v>1</v>
      </c>
      <c r="L653" s="7" t="str">
        <f aca="false">COMPLEX(0,0)</f>
        <v>0</v>
      </c>
      <c r="M653" s="7" t="str">
        <f aca="false">COMPLEX(0,-(2*PI()/($B$2*3600))*C653)</f>
        <v>-0.601047761155547i</v>
      </c>
      <c r="N653" s="7" t="str">
        <f aca="false">COMPLEX(1,0)</f>
        <v>1</v>
      </c>
      <c r="O653" s="7" t="str">
        <f aca="false">IMSUM(IMPRODUCT(K653,O652),IMPRODUCT(L653,Q652))</f>
        <v>1+0.0198679676604195i</v>
      </c>
      <c r="P653" s="7" t="str">
        <f aca="false">IMSUM(IMPRODUCT(K653,P652),IMPRODUCT(L653,R652))</f>
        <v>-0.236111111111111-0.00337755450227132i</v>
      </c>
      <c r="Q653" s="7" t="str">
        <f aca="false">IMSUM(IMPRODUCT(M653,O652),IMPRODUCT(N653,Q652))</f>
        <v>0.011941597481006-0.901571641733321i</v>
      </c>
      <c r="R653" s="7" t="str">
        <f aca="false">IMSUM(IMPRODUCT(M653,P652),IMPRODUCT(N653,R652))</f>
        <v>0.997969928428229+0.193003114415504i</v>
      </c>
    </row>
    <row r="654" customFormat="false" ht="15" hidden="false" customHeight="false" outlineLevel="0" collapsed="false">
      <c r="A654" s="7" t="s">
        <v>68</v>
      </c>
      <c r="B654" s="7" t="s">
        <v>42</v>
      </c>
      <c r="C654" s="10" t="n">
        <f aca="false">P646/3</f>
        <v>0.132222222222222</v>
      </c>
      <c r="K654" s="7" t="str">
        <f aca="false">COMPLEX(1,0)</f>
        <v>1</v>
      </c>
      <c r="L654" s="7" t="str">
        <f aca="false">COMPLEX(-C654,0)</f>
        <v>-0.132222222222222</v>
      </c>
      <c r="M654" s="7" t="str">
        <f aca="false">COMPLEX(0,0)</f>
        <v>0</v>
      </c>
      <c r="N654" s="7" t="str">
        <f aca="false">COMPLEX(1,0)</f>
        <v>1</v>
      </c>
      <c r="O654" s="7" t="str">
        <f aca="false">IMSUM(IMPRODUCT(K654,O653),IMPRODUCT(L654,Q653))</f>
        <v>0.998421055444178+0.139075773622937i</v>
      </c>
      <c r="P654" s="7" t="str">
        <f aca="false">IMSUM(IMPRODUCT(K654,P653),IMPRODUCT(L654,R653))</f>
        <v>-0.368064912758843-0.028896855186099i</v>
      </c>
      <c r="Q654" s="7" t="str">
        <f aca="false">IMSUM(IMPRODUCT(M654,O653),IMPRODUCT(N654,Q653))</f>
        <v>0.011941597481006-0.901571641733321i</v>
      </c>
      <c r="R654" s="7" t="str">
        <f aca="false">IMSUM(IMPRODUCT(M654,P653),IMPRODUCT(N654,R653))</f>
        <v>0.997969928428229+0.193003114415504i</v>
      </c>
    </row>
    <row r="655" customFormat="false" ht="15" hidden="false" customHeight="false" outlineLevel="0" collapsed="false">
      <c r="A655" s="7" t="s">
        <v>69</v>
      </c>
      <c r="B655" s="7" t="s">
        <v>65</v>
      </c>
      <c r="C655" s="10" t="n">
        <f aca="false">INDEX(Classes!$B$5:$F$9,MATCH(Engine!$C$632,Classes!$A$5:$A$9,0),3)*(N646*1000)</f>
        <v>8265</v>
      </c>
      <c r="K655" s="7" t="str">
        <f aca="false">COMPLEX(1,0)</f>
        <v>1</v>
      </c>
      <c r="L655" s="7" t="str">
        <f aca="false">COMPLEX(0,0)</f>
        <v>0</v>
      </c>
      <c r="M655" s="7" t="str">
        <f aca="false">COMPLEX(0,-(2*PI()/($B$2*3600))*C655)</f>
        <v>-0.601047761155547i</v>
      </c>
      <c r="N655" s="7" t="str">
        <f aca="false">COMPLEX(1,0)</f>
        <v>1</v>
      </c>
      <c r="O655" s="7" t="str">
        <f aca="false">IMSUM(IMPRODUCT(K655,O654),IMPRODUCT(L655,Q654))</f>
        <v>0.998421055444178+0.139075773622937i</v>
      </c>
      <c r="P655" s="7" t="str">
        <f aca="false">IMSUM(IMPRODUCT(K655,P654),IMPRODUCT(L655,R654))</f>
        <v>-0.368064912758843-0.028896855186099i</v>
      </c>
      <c r="Q655" s="7" t="str">
        <f aca="false">IMSUM(IMPRODUCT(M655,O654),IMPRODUCT(N655,Q654))</f>
        <v>0.095532779848048-1.5016703817986i</v>
      </c>
      <c r="R655" s="7" t="str">
        <f aca="false">IMSUM(IMPRODUCT(M655,P654),IMPRODUCT(N655,R654))</f>
        <v>0.980601538314188+0.414227706189118i</v>
      </c>
    </row>
    <row r="656" customFormat="false" ht="15" hidden="false" customHeight="false" outlineLevel="0" collapsed="false">
      <c r="A656" s="7" t="s">
        <v>68</v>
      </c>
      <c r="B656" s="7" t="s">
        <v>42</v>
      </c>
      <c r="C656" s="10" t="n">
        <f aca="false">P646/3</f>
        <v>0.132222222222222</v>
      </c>
      <c r="K656" s="7" t="str">
        <f aca="false">COMPLEX(1,0)</f>
        <v>1</v>
      </c>
      <c r="L656" s="7" t="str">
        <f aca="false">COMPLEX(-C656,0)</f>
        <v>-0.132222222222222</v>
      </c>
      <c r="M656" s="7" t="str">
        <f aca="false">COMPLEX(0,0)</f>
        <v>0</v>
      </c>
      <c r="N656" s="7" t="str">
        <f aca="false">COMPLEX(1,0)</f>
        <v>1</v>
      </c>
      <c r="O656" s="7" t="str">
        <f aca="false">IMSUM(IMPRODUCT(K656,O655),IMPRODUCT(L656,Q655))</f>
        <v>0.985789498997603+0.33762996854964i</v>
      </c>
      <c r="P656" s="7" t="str">
        <f aca="false">IMSUM(IMPRODUCT(K656,P655),IMPRODUCT(L656,R655))</f>
        <v>-0.497722227269274-0.0836669630044379i</v>
      </c>
      <c r="Q656" s="7" t="str">
        <f aca="false">IMSUM(IMPRODUCT(M656,O655),IMPRODUCT(N656,Q655))</f>
        <v>0.095532779848048-1.5016703817986i</v>
      </c>
      <c r="R656" s="7" t="str">
        <f aca="false">IMSUM(IMPRODUCT(M656,P655),IMPRODUCT(N656,R655))</f>
        <v>0.980601538314188+0.414227706189118i</v>
      </c>
    </row>
    <row r="657" customFormat="false" ht="15" hidden="false" customHeight="false" outlineLevel="0" collapsed="false">
      <c r="A657" s="7" t="s">
        <v>70</v>
      </c>
      <c r="B657" s="7" t="s">
        <v>65</v>
      </c>
      <c r="C657" s="10" t="n">
        <f aca="false">INDEX(Classes!$B$5:$F$9,MATCH(Engine!$C$632,Classes!$A$5:$A$9,0),2)*(N646*1000)</f>
        <v>8265</v>
      </c>
      <c r="K657" s="7" t="str">
        <f aca="false">COMPLEX(1,0)</f>
        <v>1</v>
      </c>
      <c r="L657" s="7" t="str">
        <f aca="false">COMPLEX(0,0)</f>
        <v>0</v>
      </c>
      <c r="M657" s="7" t="str">
        <f aca="false">COMPLEX(0,-(2*PI()/($B$2*3600))*C657)</f>
        <v>-0.601047761155547i</v>
      </c>
      <c r="N657" s="7" t="str">
        <f aca="false">COMPLEX(1,0)</f>
        <v>1</v>
      </c>
      <c r="O657" s="7" t="str">
        <f aca="false">IMSUM(IMPRODUCT(K657,O656),IMPRODUCT(L657,Q656))</f>
        <v>0.985789498997603+0.33762996854964i</v>
      </c>
      <c r="P657" s="7" t="str">
        <f aca="false">IMSUM(IMPRODUCT(K657,P656),IMPRODUCT(L657,R656))</f>
        <v>-0.497722227269274-0.0836669630044379i</v>
      </c>
      <c r="Q657" s="7" t="str">
        <f aca="false">IMSUM(IMPRODUCT(M657,O656),IMPRODUCT(N657,Q656))</f>
        <v>0.298464516543827-2.09417695314176i</v>
      </c>
      <c r="R657" s="7" t="str">
        <f aca="false">IMSUM(IMPRODUCT(M657,P656),IMPRODUCT(N657,R656))</f>
        <v>0.930313697517687+0.713382536566668i</v>
      </c>
    </row>
    <row r="658" customFormat="false" ht="15" hidden="false" customHeight="false" outlineLevel="0" collapsed="false">
      <c r="A658" s="7" t="s">
        <v>66</v>
      </c>
      <c r="B658" s="7" t="s">
        <v>42</v>
      </c>
      <c r="C658" s="10" t="n">
        <f aca="false">P646/6</f>
        <v>0.0661111111111111</v>
      </c>
      <c r="K658" s="7" t="str">
        <f aca="false">COMPLEX(1,0)</f>
        <v>1</v>
      </c>
      <c r="L658" s="7" t="str">
        <f aca="false">COMPLEX(-C658,0)</f>
        <v>-0.0661111111111111</v>
      </c>
      <c r="M658" s="7" t="str">
        <f aca="false">COMPLEX(0,0)</f>
        <v>0</v>
      </c>
      <c r="N658" s="7" t="str">
        <f aca="false">COMPLEX(1,0)</f>
        <v>1</v>
      </c>
      <c r="O658" s="7" t="str">
        <f aca="false">IMSUM(IMPRODUCT(K658,O657),IMPRODUCT(L658,Q657))</f>
        <v>0.96605767818165+0.476078333785123i</v>
      </c>
      <c r="P658" s="7" t="str">
        <f aca="false">IMSUM(IMPRODUCT(K658,P657),IMPRODUCT(L658,R657))</f>
        <v>-0.559226299494055-0.130829475144123i</v>
      </c>
      <c r="Q658" s="7" t="str">
        <f aca="false">IMSUM(IMPRODUCT(M658,O657),IMPRODUCT(N658,Q657))</f>
        <v>0.298464516543827-2.09417695314176i</v>
      </c>
      <c r="R658" s="7" t="str">
        <f aca="false">IMSUM(IMPRODUCT(M658,P657),IMPRODUCT(N658,R657))</f>
        <v>0.930313697517687+0.713382536566668i</v>
      </c>
    </row>
    <row r="659" customFormat="false" ht="15" hidden="false" customHeight="false" outlineLevel="0" collapsed="false">
      <c r="A659" s="7" t="s">
        <v>71</v>
      </c>
      <c r="B659" s="7" t="s">
        <v>65</v>
      </c>
      <c r="C659" s="10" t="n">
        <f aca="false">INDEX(Classes!$B$5:$F$9,MATCH(Engine!$C$632,Classes!$A$5:$A$9,0),1)*(N646*1000)</f>
        <v>4132.5</v>
      </c>
      <c r="K659" s="7" t="str">
        <f aca="false">COMPLEX(1,0)</f>
        <v>1</v>
      </c>
      <c r="L659" s="7" t="str">
        <f aca="false">COMPLEX(0,0)</f>
        <v>0</v>
      </c>
      <c r="M659" s="7" t="str">
        <f aca="false">COMPLEX(0,-(2*PI()/($B$2*3600))*C659)</f>
        <v>-0.300523880577774i</v>
      </c>
      <c r="N659" s="7" t="str">
        <f aca="false">COMPLEX(1,0)</f>
        <v>1</v>
      </c>
      <c r="O659" s="7" t="str">
        <f aca="false">IMSUM(IMPRODUCT(K659,O658),IMPRODUCT(L659,Q658))</f>
        <v>0.96605767818165+0.476078333785123i</v>
      </c>
      <c r="P659" s="7" t="str">
        <f aca="false">IMSUM(IMPRODUCT(K659,P658),IMPRODUCT(L659,R658))</f>
        <v>-0.559226299494055-0.130829475144123i</v>
      </c>
      <c r="Q659" s="7" t="str">
        <f aca="false">IMSUM(IMPRODUCT(M659,O658),IMPRODUCT(N659,Q658))</f>
        <v>0.441537424871933-2.38450035545086i</v>
      </c>
      <c r="R659" s="7" t="str">
        <f aca="false">IMSUM(IMPRODUCT(M659,P658),IMPRODUCT(N659,R658))</f>
        <v>0.890996315953422+0.88144339421177i</v>
      </c>
    </row>
    <row r="660" customFormat="false" ht="15" hidden="false" customHeight="false" outlineLevel="0" collapsed="false">
      <c r="A660" s="7" t="s">
        <v>72</v>
      </c>
      <c r="B660" s="7" t="s">
        <v>73</v>
      </c>
      <c r="K660" s="7" t="str">
        <f aca="false">K644</f>
        <v>1</v>
      </c>
      <c r="L660" s="7" t="str">
        <f aca="false">L644</f>
        <v>-0</v>
      </c>
      <c r="M660" s="7" t="str">
        <f aca="false">M644</f>
        <v>0</v>
      </c>
      <c r="N660" s="7" t="str">
        <f aca="false">N644</f>
        <v>1</v>
      </c>
      <c r="O660" s="7" t="str">
        <f aca="false">IMSUM(IMPRODUCT(K660,O659),IMPRODUCT(L660,Q659))</f>
        <v>0.96605767818165+0.476078333785123i</v>
      </c>
      <c r="P660" s="7" t="str">
        <f aca="false">IMSUM(IMPRODUCT(K660,P659),IMPRODUCT(L660,R659))</f>
        <v>-0.559226299494055-0.130829475144123i</v>
      </c>
      <c r="Q660" s="7" t="str">
        <f aca="false">IMSUM(IMPRODUCT(M660,O659),IMPRODUCT(N660,Q659))</f>
        <v>0.441537424871933-2.38450035545086i</v>
      </c>
      <c r="R660" s="7" t="str">
        <f aca="false">IMSUM(IMPRODUCT(M660,P659),IMPRODUCT(N660,R659))</f>
        <v>0.890996315953422+0.88144339421177i</v>
      </c>
    </row>
    <row r="661" customFormat="false" ht="15" hidden="false" customHeight="false" outlineLevel="0" collapsed="false">
      <c r="A661" s="7" t="s">
        <v>52</v>
      </c>
      <c r="B661" s="7" t="s">
        <v>73</v>
      </c>
      <c r="K661" s="7" t="str">
        <f aca="false">K645</f>
        <v>1</v>
      </c>
      <c r="L661" s="7" t="str">
        <f aca="false">L645</f>
        <v>-0.17</v>
      </c>
      <c r="M661" s="7" t="str">
        <f aca="false">M645</f>
        <v>0</v>
      </c>
      <c r="N661" s="7" t="str">
        <f aca="false">N645</f>
        <v>1</v>
      </c>
      <c r="O661" s="7" t="str">
        <f aca="false">IMSUM(IMPRODUCT(K661,O660),IMPRODUCT(L661,Q660))</f>
        <v>0.890996315953421+0.881443394211769i</v>
      </c>
      <c r="P661" s="7" t="str">
        <f aca="false">IMSUM(IMPRODUCT(K661,P660),IMPRODUCT(L661,R660))</f>
        <v>-0.710695673206137-0.280674852160124i</v>
      </c>
      <c r="Q661" s="7" t="str">
        <f aca="false">IMSUM(IMPRODUCT(M661,O660),IMPRODUCT(N661,Q660))</f>
        <v>0.441537424871933-2.38450035545086i</v>
      </c>
      <c r="R661" s="7" t="str">
        <f aca="false">IMSUM(IMPRODUCT(M661,P660),IMPRODUCT(N661,R660))</f>
        <v>0.890996315953422+0.88144339421177i</v>
      </c>
    </row>
    <row r="662" customFormat="false" ht="15" hidden="false" customHeight="false" outlineLevel="0" collapsed="false">
      <c r="A662" s="9" t="s">
        <v>74</v>
      </c>
      <c r="B662" s="13" t="n">
        <f aca="false">IMABS(IMDIV(IMPRODUCT(O661,COMPLEX(-1,0)),P661))</f>
        <v>1.64023442854733</v>
      </c>
    </row>
    <row r="665" customFormat="false" ht="15" hidden="false" customHeight="false" outlineLevel="0" collapsed="false">
      <c r="A665" s="4" t="s">
        <v>132</v>
      </c>
      <c r="B665" s="9" t="s">
        <v>18</v>
      </c>
      <c r="C665" s="7" t="str">
        <f aca="false">INDEX(Library!$F$5:$F$34,MATCH(A665,Library!$A$5:$A$34,0))</f>
        <v>D</v>
      </c>
    </row>
    <row r="666" customFormat="false" ht="15" hidden="false" customHeight="false" outlineLevel="0" collapsed="false">
      <c r="A666" s="4" t="s">
        <v>133</v>
      </c>
      <c r="T666" s="9" t="s">
        <v>20</v>
      </c>
      <c r="U666" s="7" t="n">
        <f aca="false">MATCH($A$665,Library!$A$5:$A$34,0)</f>
        <v>21</v>
      </c>
      <c r="V666" s="9" t="s">
        <v>21</v>
      </c>
      <c r="W666" s="7" t="str">
        <f aca="false">INDEX(Library!$D$5:$D$34,$U$666)</f>
        <v>room</v>
      </c>
      <c r="X666" s="9" t="s">
        <v>22</v>
      </c>
      <c r="Y666" s="7" t="n">
        <f aca="false">INDEX(Library!$E$5:$E$34,$U$666)</f>
        <v>0.17</v>
      </c>
    </row>
    <row r="667" customFormat="false" ht="15" hidden="false" customHeight="false" outlineLevel="0" collapsed="false">
      <c r="A667" s="9"/>
      <c r="B667" s="9" t="s">
        <v>23</v>
      </c>
      <c r="C667" s="9" t="s">
        <v>24</v>
      </c>
      <c r="D667" s="9" t="s">
        <v>25</v>
      </c>
      <c r="E667" s="9" t="s">
        <v>26</v>
      </c>
      <c r="F667" s="9" t="s">
        <v>27</v>
      </c>
      <c r="G667" s="9" t="s">
        <v>28</v>
      </c>
      <c r="H667" s="9" t="s">
        <v>29</v>
      </c>
      <c r="I667" s="9" t="s">
        <v>30</v>
      </c>
      <c r="J667" s="9" t="s">
        <v>31</v>
      </c>
      <c r="K667" s="9" t="s">
        <v>32</v>
      </c>
      <c r="L667" s="9" t="s">
        <v>33</v>
      </c>
      <c r="M667" s="9" t="s">
        <v>34</v>
      </c>
      <c r="N667" s="9" t="s">
        <v>35</v>
      </c>
      <c r="O667" s="9" t="s">
        <v>36</v>
      </c>
      <c r="P667" s="9" t="s">
        <v>37</v>
      </c>
      <c r="Q667" s="9" t="s">
        <v>38</v>
      </c>
      <c r="R667" s="9" t="s">
        <v>39</v>
      </c>
      <c r="S667" s="9" t="s">
        <v>40</v>
      </c>
      <c r="T667" s="9" t="s">
        <v>41</v>
      </c>
    </row>
    <row r="668" customFormat="false" ht="15" hidden="false" customHeight="false" outlineLevel="0" collapsed="false">
      <c r="A668" s="7" t="s">
        <v>22</v>
      </c>
      <c r="B668" s="7" t="s">
        <v>42</v>
      </c>
      <c r="H668" s="10" t="n">
        <f aca="false">$Y$666</f>
        <v>0.17</v>
      </c>
      <c r="I668" s="11" t="n">
        <f aca="false">IF(B668="mass",SQRT(E668*($B$2*3600)/(PI()*F668*G668)),0)</f>
        <v>0</v>
      </c>
      <c r="J668" s="10" t="n">
        <f aca="false">IF(B668="mass",D668/I668,0)</f>
        <v>0</v>
      </c>
      <c r="K668" s="7" t="str">
        <f aca="false">IF(B668="mass",COMPLEX(COSH(J668)*COS(J668),SINH(J668)*SIN(J668)),COMPLEX(1,0))</f>
        <v>1</v>
      </c>
      <c r="L668" s="7" t="str">
        <f aca="false">IF(B668="mass",COMPLEX(-I668/(2*E668)*(SINH(J668)*COS(J668)+COSH(J668)*SIN(J668)),-I668/(2*E668)*(COSH(J668)*SIN(J668)-SINH(J668)*COS(J668))),COMPLEX(-H668,0))</f>
        <v>-0.17</v>
      </c>
      <c r="M668" s="7" t="str">
        <f aca="false">IF(B668="mass",COMPLEX(-E668/I668*(SINH(J668)*COS(J668)-COSH(J668)*SIN(J668)),-E668/I668*(SINH(J668)*COS(J668)+COSH(J668)*SIN(J668))),COMPLEX(0,0))</f>
        <v>0</v>
      </c>
      <c r="N668" s="7" t="str">
        <f aca="false">K668</f>
        <v>1</v>
      </c>
      <c r="O668" s="7" t="str">
        <f aca="false">K668</f>
        <v>1</v>
      </c>
      <c r="P668" s="7" t="str">
        <f aca="false">L668</f>
        <v>-0.17</v>
      </c>
      <c r="Q668" s="7" t="str">
        <f aca="false">M668</f>
        <v>0</v>
      </c>
      <c r="R668" s="7" t="str">
        <f aca="false">N668</f>
        <v>1</v>
      </c>
      <c r="S668" s="10" t="n">
        <f aca="false">IF(B668="mass",D668/E668,H668)</f>
        <v>0.17</v>
      </c>
      <c r="T668" s="12" t="n">
        <f aca="false">IF(B668="mass",F668*G668*D668,0)</f>
        <v>0</v>
      </c>
    </row>
    <row r="669" customFormat="false" ht="15" hidden="false" customHeight="false" outlineLevel="0" collapsed="false">
      <c r="A669" s="7" t="s">
        <v>43</v>
      </c>
      <c r="B669" s="7" t="str">
        <f aca="false">IF(C669="","none",IF(C669="Cavity","res","mass"))</f>
        <v>mass</v>
      </c>
      <c r="C669" s="7" t="str">
        <f aca="false">IF(INDEX(Library!$G$5:$G$34,$U$666)="","",INDEX(Library!$G$5:$G$34,$U$666))</f>
        <v>screed</v>
      </c>
      <c r="D669" s="11" t="n">
        <f aca="false">IF(B669="mass",INDEX(Library!$H$5:$H$34,$U$666)/1000,0)</f>
        <v>0.05</v>
      </c>
      <c r="E669" s="7" t="n">
        <f aca="false">IF(B669="mass",INDEX(Materials!$B$5:$B$28,MATCH(C669,Materials!$A$5:$A$28,0)),0)</f>
        <v>1.15</v>
      </c>
      <c r="F669" s="7" t="n">
        <f aca="false">IF(B669="mass",INDEX(Materials!$C$5:$C$28,MATCH(C669,Materials!$A$5:$A$28,0)),0)</f>
        <v>2000</v>
      </c>
      <c r="G669" s="7" t="n">
        <f aca="false">IF(B669="mass",INDEX(Materials!$D$5:$D$28,MATCH(C669,Materials!$A$5:$A$28,0)),0)</f>
        <v>1000</v>
      </c>
      <c r="H669" s="10" t="n">
        <f aca="false">IF(B669="res",INDEX(Library!$H$5:$H$34,$U$666),0)</f>
        <v>0</v>
      </c>
      <c r="I669" s="11" t="n">
        <f aca="false">IF(B669="mass",SQRT(E669*($B$2*3600)/(PI()*F669*G669)),0)</f>
        <v>0.125752276900304</v>
      </c>
      <c r="J669" s="10" t="n">
        <f aca="false">IF(B669="mass",D669/I669,0)</f>
        <v>0.397607114817013</v>
      </c>
      <c r="K669" s="7" t="str">
        <f aca="false">IF(B669="mass",COMPLEX(COSH(J669)*COS(J669),SINH(J669)*SIN(J669)),COMPLEX(1,0))</f>
        <v>0.995834765144997+0.158047516819254i</v>
      </c>
      <c r="L669" s="7" t="str">
        <f aca="false">IF(B669="mass",COMPLEX(-I669/(2*E669)*(SINH(J669)*COS(J669)+COSH(J669)*SIN(J669)),-I669/(2*E669)*(COSH(J669)*SIN(J669)-SINH(J669)*COS(J669))),COMPLEX(-H669,0))</f>
        <v>-0.0434420404780838-0.00229090728886174i</v>
      </c>
      <c r="M669" s="7" t="str">
        <f aca="false">IF(B669="mass",COMPLEX(-E669/I669*(SINH(J669)*COS(J669)-COSH(J669)*SIN(J669)),-E669/I669*(SINH(J669)*COS(J669)+COSH(J669)*SIN(J669))),COMPLEX(0,0))</f>
        <v>0.383178802548836-7.2661469678858i</v>
      </c>
      <c r="N669" s="7" t="str">
        <f aca="false">K669</f>
        <v>0.995834765144997+0.158047516819254i</v>
      </c>
      <c r="O669" s="7" t="str">
        <f aca="false">IMSUM(IMPRODUCT(K669,O668),IMPRODUCT(L669,Q668))</f>
        <v>0.995834765144997+0.158047516819254i</v>
      </c>
      <c r="P669" s="7" t="str">
        <f aca="false">IMSUM(IMPRODUCT(K669,P668),IMPRODUCT(L669,R668))</f>
        <v>-0.212733950552733-0.029158985148135i</v>
      </c>
      <c r="Q669" s="7" t="str">
        <f aca="false">IMSUM(IMPRODUCT(M669,O668),IMPRODUCT(N669,Q668))</f>
        <v>0.383178802548836-7.2661469678858i</v>
      </c>
      <c r="R669" s="7" t="str">
        <f aca="false">IMSUM(IMPRODUCT(M669,P668),IMPRODUCT(N669,R668))</f>
        <v>0.930694368711695+1.39329250135984i</v>
      </c>
      <c r="S669" s="10" t="n">
        <f aca="false">IF(B669="mass",D669/E669,H669)</f>
        <v>0.0434782608695652</v>
      </c>
      <c r="T669" s="12" t="n">
        <f aca="false">IF(B669="mass",F669*G669*D669,0)</f>
        <v>100000</v>
      </c>
    </row>
    <row r="670" customFormat="false" ht="15" hidden="false" customHeight="false" outlineLevel="0" collapsed="false">
      <c r="A670" s="7" t="s">
        <v>44</v>
      </c>
      <c r="B670" s="7" t="str">
        <f aca="false">IF(C670="","none",IF(C670="Cavity","res","mass"))</f>
        <v>mass</v>
      </c>
      <c r="C670" s="7" t="str">
        <f aca="false">IF(INDEX(Library!$I$5:$I$34,$U$666)="","",INDEX(Library!$I$5:$I$34,$U$666))</f>
        <v>precast plank</v>
      </c>
      <c r="D670" s="11" t="n">
        <f aca="false">IF(B670="mass",INDEX(Library!$J$5:$J$34,$U$666)/1000,0)</f>
        <v>0.15</v>
      </c>
      <c r="E670" s="7" t="n">
        <f aca="false">IF(B670="mass",INDEX(Materials!$B$5:$B$28,MATCH(C670,Materials!$A$5:$A$28,0)),0)</f>
        <v>1.6</v>
      </c>
      <c r="F670" s="7" t="n">
        <f aca="false">IF(B670="mass",INDEX(Materials!$C$5:$C$28,MATCH(C670,Materials!$A$5:$A$28,0)),0)</f>
        <v>2200</v>
      </c>
      <c r="G670" s="7" t="n">
        <f aca="false">IF(B670="mass",INDEX(Materials!$D$5:$D$28,MATCH(C670,Materials!$A$5:$A$28,0)),0)</f>
        <v>1000</v>
      </c>
      <c r="H670" s="10" t="n">
        <f aca="false">IF(B670="res",INDEX(Library!$J$5:$J$34,$U$666),0)</f>
        <v>0</v>
      </c>
      <c r="I670" s="11" t="n">
        <f aca="false">IF(B670="mass",SQRT(E670*($B$2*3600)/(PI()*F670*G670)),0)</f>
        <v>0.141426432314805</v>
      </c>
      <c r="J670" s="10" t="n">
        <f aca="false">IF(B670="mass",D670/I670,0)</f>
        <v>1.06062210256503</v>
      </c>
      <c r="K670" s="7" t="str">
        <f aca="false">IF(B670="mass",COMPLEX(COSH(J670)*COS(J670),SINH(J670)*SIN(J670)),COMPLEX(1,0))</f>
        <v>0.789727966588582+1.10911822046922i</v>
      </c>
      <c r="L670" s="7" t="str">
        <f aca="false">IF(B670="mass",COMPLEX(-I670/(2*E670)*(SINH(J670)*COS(J670)+COSH(J670)*SIN(J670)),-I670/(2*E670)*(COSH(J670)*SIN(J670)-SINH(J670)*COS(J670))),COMPLEX(-H670,0))</f>
        <v>-0.0898021070383088-0.034942028192909i</v>
      </c>
      <c r="M670" s="7" t="str">
        <f aca="false">IF(B670="mass",COMPLEX(-E670/I670*(SINH(J670)*COS(J670)-COSH(J670)*SIN(J670)),-E670/I670*(SINH(J670)*COS(J670)+COSH(J670)*SIN(J670))),COMPLEX(0,0))</f>
        <v>8.94451710960054-22.9876891646873i</v>
      </c>
      <c r="N670" s="7" t="str">
        <f aca="false">K670</f>
        <v>0.789727966588582+1.10911822046922i</v>
      </c>
      <c r="O670" s="7" t="str">
        <f aca="false">IMSUM(IMPRODUCT(K670,O669),IMPRODUCT(L670,Q669))</f>
        <v>0.322841007485039+1.86843928992563i</v>
      </c>
      <c r="P670" s="7" t="str">
        <f aca="false">IMSUM(IMPRODUCT(K670,P669),IMPRODUCT(L670,R669))</f>
        <v>-0.170555037931693-0.416615717932553i</v>
      </c>
      <c r="Q670" s="7" t="str">
        <f aca="false">IMSUM(IMPRODUCT(M670,O669),IMPRODUCT(N670,Q669))</f>
        <v>20.9020312963323-26.7915702005007i</v>
      </c>
      <c r="R670" s="7" t="str">
        <f aca="false">IMSUM(IMPRODUCT(M670,P669),IMPRODUCT(N670,R669))</f>
        <v>-3.3834308758381+6.76202102451437i</v>
      </c>
      <c r="S670" s="10" t="n">
        <f aca="false">IF(B670="mass",D670/E670,H670)</f>
        <v>0.09375</v>
      </c>
      <c r="T670" s="12" t="n">
        <f aca="false">IF(B670="mass",F670*G670*D670,0)</f>
        <v>330000</v>
      </c>
    </row>
    <row r="671" customFormat="false" ht="15" hidden="false" customHeight="false" outlineLevel="0" collapsed="false">
      <c r="A671" s="7" t="s">
        <v>45</v>
      </c>
      <c r="B671" s="7" t="str">
        <f aca="false">IF(C671="","none",IF(C671="Cavity","res","mass"))</f>
        <v>none</v>
      </c>
      <c r="C671" s="7" t="str">
        <f aca="false">IF(INDEX(Library!$K$5:$K$34,$U$666)="","",INDEX(Library!$K$5:$K$34,$U$666))</f>
        <v/>
      </c>
      <c r="D671" s="11" t="n">
        <f aca="false">IF(B671="mass",INDEX(Library!$L$5:$L$34,$U$666)/1000,0)</f>
        <v>0</v>
      </c>
      <c r="E671" s="7" t="n">
        <f aca="false">IF(B671="mass",INDEX(Materials!$B$5:$B$28,MATCH(C671,Materials!$A$5:$A$28,0)),0)</f>
        <v>0</v>
      </c>
      <c r="F671" s="7" t="n">
        <f aca="false">IF(B671="mass",INDEX(Materials!$C$5:$C$28,MATCH(C671,Materials!$A$5:$A$28,0)),0)</f>
        <v>0</v>
      </c>
      <c r="G671" s="7" t="n">
        <f aca="false">IF(B671="mass",INDEX(Materials!$D$5:$D$28,MATCH(C671,Materials!$A$5:$A$28,0)),0)</f>
        <v>0</v>
      </c>
      <c r="H671" s="10" t="n">
        <f aca="false">IF(B671="res",INDEX(Library!$L$5:$L$34,$U$666),0)</f>
        <v>0</v>
      </c>
      <c r="I671" s="11" t="n">
        <f aca="false">IF(B671="mass",SQRT(E671*($B$2*3600)/(PI()*F671*G671)),0)</f>
        <v>0</v>
      </c>
      <c r="J671" s="10" t="n">
        <f aca="false">IF(B671="mass",D671/I671,0)</f>
        <v>0</v>
      </c>
      <c r="K671" s="7" t="str">
        <f aca="false">IF(B671="mass",COMPLEX(COSH(J671)*COS(J671),SINH(J671)*SIN(J671)),COMPLEX(1,0))</f>
        <v>1</v>
      </c>
      <c r="L671" s="7" t="str">
        <f aca="false">IF(B671="mass",COMPLEX(-I671/(2*E671)*(SINH(J671)*COS(J671)+COSH(J671)*SIN(J671)),-I671/(2*E671)*(COSH(J671)*SIN(J671)-SINH(J671)*COS(J671))),COMPLEX(-H671,0))</f>
        <v>-0</v>
      </c>
      <c r="M671" s="7" t="str">
        <f aca="false">IF(B671="mass",COMPLEX(-E671/I671*(SINH(J671)*COS(J671)-COSH(J671)*SIN(J671)),-E671/I671*(SINH(J671)*COS(J671)+COSH(J671)*SIN(J671))),COMPLEX(0,0))</f>
        <v>0</v>
      </c>
      <c r="N671" s="7" t="str">
        <f aca="false">K671</f>
        <v>1</v>
      </c>
      <c r="O671" s="7" t="str">
        <f aca="false">IMSUM(IMPRODUCT(K671,O670),IMPRODUCT(L671,Q670))</f>
        <v>0.322841007485039+1.86843928992563i</v>
      </c>
      <c r="P671" s="7" t="str">
        <f aca="false">IMSUM(IMPRODUCT(K671,P670),IMPRODUCT(L671,R670))</f>
        <v>-0.170555037931693-0.416615717932553i</v>
      </c>
      <c r="Q671" s="7" t="str">
        <f aca="false">IMSUM(IMPRODUCT(M671,O670),IMPRODUCT(N671,Q670))</f>
        <v>20.9020312963323-26.7915702005007i</v>
      </c>
      <c r="R671" s="7" t="str">
        <f aca="false">IMSUM(IMPRODUCT(M671,P670),IMPRODUCT(N671,R670))</f>
        <v>-3.3834308758381+6.76202102451437i</v>
      </c>
      <c r="S671" s="10" t="n">
        <f aca="false">IF(B671="mass",D671/E671,H671)</f>
        <v>0</v>
      </c>
      <c r="T671" s="12" t="n">
        <f aca="false">IF(B671="mass",F671*G671*D671,0)</f>
        <v>0</v>
      </c>
    </row>
    <row r="672" customFormat="false" ht="15" hidden="false" customHeight="false" outlineLevel="0" collapsed="false">
      <c r="A672" s="7" t="s">
        <v>46</v>
      </c>
      <c r="B672" s="7" t="str">
        <f aca="false">IF(C672="","none",IF(C672="Cavity","res","mass"))</f>
        <v>none</v>
      </c>
      <c r="C672" s="7" t="str">
        <f aca="false">IF(INDEX(Library!$M$5:$M$34,$U$666)="","",INDEX(Library!$M$5:$M$34,$U$666))</f>
        <v/>
      </c>
      <c r="D672" s="11" t="n">
        <f aca="false">IF(B672="mass",INDEX(Library!$N$5:$N$34,$U$666)/1000,0)</f>
        <v>0</v>
      </c>
      <c r="E672" s="7" t="n">
        <f aca="false">IF(B672="mass",INDEX(Materials!$B$5:$B$28,MATCH(C672,Materials!$A$5:$A$28,0)),0)</f>
        <v>0</v>
      </c>
      <c r="F672" s="7" t="n">
        <f aca="false">IF(B672="mass",INDEX(Materials!$C$5:$C$28,MATCH(C672,Materials!$A$5:$A$28,0)),0)</f>
        <v>0</v>
      </c>
      <c r="G672" s="7" t="n">
        <f aca="false">IF(B672="mass",INDEX(Materials!$D$5:$D$28,MATCH(C672,Materials!$A$5:$A$28,0)),0)</f>
        <v>0</v>
      </c>
      <c r="H672" s="10" t="n">
        <f aca="false">IF(B672="res",INDEX(Library!$N$5:$N$34,$U$666),0)</f>
        <v>0</v>
      </c>
      <c r="I672" s="11" t="n">
        <f aca="false">IF(B672="mass",SQRT(E672*($B$2*3600)/(PI()*F672*G672)),0)</f>
        <v>0</v>
      </c>
      <c r="J672" s="10" t="n">
        <f aca="false">IF(B672="mass",D672/I672,0)</f>
        <v>0</v>
      </c>
      <c r="K672" s="7" t="str">
        <f aca="false">IF(B672="mass",COMPLEX(COSH(J672)*COS(J672),SINH(J672)*SIN(J672)),COMPLEX(1,0))</f>
        <v>1</v>
      </c>
      <c r="L672" s="7" t="str">
        <f aca="false">IF(B672="mass",COMPLEX(-I672/(2*E672)*(SINH(J672)*COS(J672)+COSH(J672)*SIN(J672)),-I672/(2*E672)*(COSH(J672)*SIN(J672)-SINH(J672)*COS(J672))),COMPLEX(-H672,0))</f>
        <v>-0</v>
      </c>
      <c r="M672" s="7" t="str">
        <f aca="false">IF(B672="mass",COMPLEX(-E672/I672*(SINH(J672)*COS(J672)-COSH(J672)*SIN(J672)),-E672/I672*(SINH(J672)*COS(J672)+COSH(J672)*SIN(J672))),COMPLEX(0,0))</f>
        <v>0</v>
      </c>
      <c r="N672" s="7" t="str">
        <f aca="false">K672</f>
        <v>1</v>
      </c>
      <c r="O672" s="7" t="str">
        <f aca="false">IMSUM(IMPRODUCT(K672,O671),IMPRODUCT(L672,Q671))</f>
        <v>0.322841007485039+1.86843928992563i</v>
      </c>
      <c r="P672" s="7" t="str">
        <f aca="false">IMSUM(IMPRODUCT(K672,P671),IMPRODUCT(L672,R671))</f>
        <v>-0.170555037931693-0.416615717932553i</v>
      </c>
      <c r="Q672" s="7" t="str">
        <f aca="false">IMSUM(IMPRODUCT(M672,O671),IMPRODUCT(N672,Q671))</f>
        <v>20.9020312963323-26.7915702005007i</v>
      </c>
      <c r="R672" s="7" t="str">
        <f aca="false">IMSUM(IMPRODUCT(M672,P671),IMPRODUCT(N672,R671))</f>
        <v>-3.3834308758381+6.76202102451437i</v>
      </c>
      <c r="S672" s="10" t="n">
        <f aca="false">IF(B672="mass",D672/E672,H672)</f>
        <v>0</v>
      </c>
      <c r="T672" s="12" t="n">
        <f aca="false">IF(B672="mass",F672*G672*D672,0)</f>
        <v>0</v>
      </c>
    </row>
    <row r="673" customFormat="false" ht="15" hidden="false" customHeight="false" outlineLevel="0" collapsed="false">
      <c r="A673" s="7" t="s">
        <v>47</v>
      </c>
      <c r="B673" s="7" t="str">
        <f aca="false">IF(C673="","none",IF(C673="Cavity","res","mass"))</f>
        <v>none</v>
      </c>
      <c r="C673" s="7" t="str">
        <f aca="false">IF(INDEX(Library!$O$5:$O$34,$U$666)="","",INDEX(Library!$O$5:$O$34,$U$666))</f>
        <v/>
      </c>
      <c r="D673" s="11" t="n">
        <f aca="false">IF(B673="mass",INDEX(Library!$P$5:$P$34,$U$666)/1000,0)</f>
        <v>0</v>
      </c>
      <c r="E673" s="7" t="n">
        <f aca="false">IF(B673="mass",INDEX(Materials!$B$5:$B$28,MATCH(C673,Materials!$A$5:$A$28,0)),0)</f>
        <v>0</v>
      </c>
      <c r="F673" s="7" t="n">
        <f aca="false">IF(B673="mass",INDEX(Materials!$C$5:$C$28,MATCH(C673,Materials!$A$5:$A$28,0)),0)</f>
        <v>0</v>
      </c>
      <c r="G673" s="7" t="n">
        <f aca="false">IF(B673="mass",INDEX(Materials!$D$5:$D$28,MATCH(C673,Materials!$A$5:$A$28,0)),0)</f>
        <v>0</v>
      </c>
      <c r="H673" s="10" t="n">
        <f aca="false">IF(B673="res",INDEX(Library!$P$5:$P$34,$U$666),0)</f>
        <v>0</v>
      </c>
      <c r="I673" s="11" t="n">
        <f aca="false">IF(B673="mass",SQRT(E673*($B$2*3600)/(PI()*F673*G673)),0)</f>
        <v>0</v>
      </c>
      <c r="J673" s="10" t="n">
        <f aca="false">IF(B673="mass",D673/I673,0)</f>
        <v>0</v>
      </c>
      <c r="K673" s="7" t="str">
        <f aca="false">IF(B673="mass",COMPLEX(COSH(J673)*COS(J673),SINH(J673)*SIN(J673)),COMPLEX(1,0))</f>
        <v>1</v>
      </c>
      <c r="L673" s="7" t="str">
        <f aca="false">IF(B673="mass",COMPLEX(-I673/(2*E673)*(SINH(J673)*COS(J673)+COSH(J673)*SIN(J673)),-I673/(2*E673)*(COSH(J673)*SIN(J673)-SINH(J673)*COS(J673))),COMPLEX(-H673,0))</f>
        <v>-0</v>
      </c>
      <c r="M673" s="7" t="str">
        <f aca="false">IF(B673="mass",COMPLEX(-E673/I673*(SINH(J673)*COS(J673)-COSH(J673)*SIN(J673)),-E673/I673*(SINH(J673)*COS(J673)+COSH(J673)*SIN(J673))),COMPLEX(0,0))</f>
        <v>0</v>
      </c>
      <c r="N673" s="7" t="str">
        <f aca="false">K673</f>
        <v>1</v>
      </c>
      <c r="O673" s="7" t="str">
        <f aca="false">IMSUM(IMPRODUCT(K673,O672),IMPRODUCT(L673,Q672))</f>
        <v>0.322841007485039+1.86843928992563i</v>
      </c>
      <c r="P673" s="7" t="str">
        <f aca="false">IMSUM(IMPRODUCT(K673,P672),IMPRODUCT(L673,R672))</f>
        <v>-0.170555037931693-0.416615717932553i</v>
      </c>
      <c r="Q673" s="7" t="str">
        <f aca="false">IMSUM(IMPRODUCT(M673,O672),IMPRODUCT(N673,Q672))</f>
        <v>20.9020312963323-26.7915702005007i</v>
      </c>
      <c r="R673" s="7" t="str">
        <f aca="false">IMSUM(IMPRODUCT(M673,P672),IMPRODUCT(N673,R672))</f>
        <v>-3.3834308758381+6.76202102451437i</v>
      </c>
      <c r="S673" s="10" t="n">
        <f aca="false">IF(B673="mass",D673/E673,H673)</f>
        <v>0</v>
      </c>
      <c r="T673" s="12" t="n">
        <f aca="false">IF(B673="mass",F673*G673*D673,0)</f>
        <v>0</v>
      </c>
    </row>
    <row r="674" customFormat="false" ht="15" hidden="false" customHeight="false" outlineLevel="0" collapsed="false">
      <c r="A674" s="7" t="s">
        <v>48</v>
      </c>
      <c r="B674" s="7" t="str">
        <f aca="false">IF(C674="","none",IF(C674="Cavity","res","mass"))</f>
        <v>none</v>
      </c>
      <c r="C674" s="7" t="str">
        <f aca="false">IF(INDEX(Library!$Q$5:$Q$34,$U$666)="","",INDEX(Library!$Q$5:$Q$34,$U$666))</f>
        <v/>
      </c>
      <c r="D674" s="11" t="n">
        <f aca="false">IF(B674="mass",INDEX(Library!$R$5:$R$34,$U$666)/1000,0)</f>
        <v>0</v>
      </c>
      <c r="E674" s="7" t="n">
        <f aca="false">IF(B674="mass",INDEX(Materials!$B$5:$B$28,MATCH(C674,Materials!$A$5:$A$28,0)),0)</f>
        <v>0</v>
      </c>
      <c r="F674" s="7" t="n">
        <f aca="false">IF(B674="mass",INDEX(Materials!$C$5:$C$28,MATCH(C674,Materials!$A$5:$A$28,0)),0)</f>
        <v>0</v>
      </c>
      <c r="G674" s="7" t="n">
        <f aca="false">IF(B674="mass",INDEX(Materials!$D$5:$D$28,MATCH(C674,Materials!$A$5:$A$28,0)),0)</f>
        <v>0</v>
      </c>
      <c r="H674" s="10" t="n">
        <f aca="false">IF(B674="res",INDEX(Library!$R$5:$R$34,$U$666),0)</f>
        <v>0</v>
      </c>
      <c r="I674" s="11" t="n">
        <f aca="false">IF(B674="mass",SQRT(E674*($B$2*3600)/(PI()*F674*G674)),0)</f>
        <v>0</v>
      </c>
      <c r="J674" s="10" t="n">
        <f aca="false">IF(B674="mass",D674/I674,0)</f>
        <v>0</v>
      </c>
      <c r="K674" s="7" t="str">
        <f aca="false">IF(B674="mass",COMPLEX(COSH(J674)*COS(J674),SINH(J674)*SIN(J674)),COMPLEX(1,0))</f>
        <v>1</v>
      </c>
      <c r="L674" s="7" t="str">
        <f aca="false">IF(B674="mass",COMPLEX(-I674/(2*E674)*(SINH(J674)*COS(J674)+COSH(J674)*SIN(J674)),-I674/(2*E674)*(COSH(J674)*SIN(J674)-SINH(J674)*COS(J674))),COMPLEX(-H674,0))</f>
        <v>-0</v>
      </c>
      <c r="M674" s="7" t="str">
        <f aca="false">IF(B674="mass",COMPLEX(-E674/I674*(SINH(J674)*COS(J674)-COSH(J674)*SIN(J674)),-E674/I674*(SINH(J674)*COS(J674)+COSH(J674)*SIN(J674))),COMPLEX(0,0))</f>
        <v>0</v>
      </c>
      <c r="N674" s="7" t="str">
        <f aca="false">K674</f>
        <v>1</v>
      </c>
      <c r="O674" s="7" t="str">
        <f aca="false">IMSUM(IMPRODUCT(K674,O673),IMPRODUCT(L674,Q673))</f>
        <v>0.322841007485039+1.86843928992563i</v>
      </c>
      <c r="P674" s="7" t="str">
        <f aca="false">IMSUM(IMPRODUCT(K674,P673),IMPRODUCT(L674,R673))</f>
        <v>-0.170555037931693-0.416615717932553i</v>
      </c>
      <c r="Q674" s="7" t="str">
        <f aca="false">IMSUM(IMPRODUCT(M674,O673),IMPRODUCT(N674,Q673))</f>
        <v>20.9020312963323-26.7915702005007i</v>
      </c>
      <c r="R674" s="7" t="str">
        <f aca="false">IMSUM(IMPRODUCT(M674,P673),IMPRODUCT(N674,R673))</f>
        <v>-3.3834308758381+6.76202102451437i</v>
      </c>
      <c r="S674" s="10" t="n">
        <f aca="false">IF(B674="mass",D674/E674,H674)</f>
        <v>0</v>
      </c>
      <c r="T674" s="12" t="n">
        <f aca="false">IF(B674="mass",F674*G674*D674,0)</f>
        <v>0</v>
      </c>
    </row>
    <row r="675" customFormat="false" ht="15" hidden="false" customHeight="false" outlineLevel="0" collapsed="false">
      <c r="A675" s="7" t="s">
        <v>49</v>
      </c>
      <c r="B675" s="7" t="str">
        <f aca="false">IF(C675="","none",IF(C675="Cavity","res","mass"))</f>
        <v>none</v>
      </c>
      <c r="C675" s="7" t="str">
        <f aca="false">IF(INDEX(Library!$S$5:$S$34,$U$666)="","",INDEX(Library!$S$5:$S$34,$U$666))</f>
        <v/>
      </c>
      <c r="D675" s="11" t="n">
        <f aca="false">IF(B675="mass",INDEX(Library!$T$5:$T$34,$U$666)/1000,0)</f>
        <v>0</v>
      </c>
      <c r="E675" s="7" t="n">
        <f aca="false">IF(B675="mass",INDEX(Materials!$B$5:$B$28,MATCH(C675,Materials!$A$5:$A$28,0)),0)</f>
        <v>0</v>
      </c>
      <c r="F675" s="7" t="n">
        <f aca="false">IF(B675="mass",INDEX(Materials!$C$5:$C$28,MATCH(C675,Materials!$A$5:$A$28,0)),0)</f>
        <v>0</v>
      </c>
      <c r="G675" s="7" t="n">
        <f aca="false">IF(B675="mass",INDEX(Materials!$D$5:$D$28,MATCH(C675,Materials!$A$5:$A$28,0)),0)</f>
        <v>0</v>
      </c>
      <c r="H675" s="10" t="n">
        <f aca="false">IF(B675="res",INDEX(Library!$T$5:$T$34,$U$666),0)</f>
        <v>0</v>
      </c>
      <c r="I675" s="11" t="n">
        <f aca="false">IF(B675="mass",SQRT(E675*($B$2*3600)/(PI()*F675*G675)),0)</f>
        <v>0</v>
      </c>
      <c r="J675" s="10" t="n">
        <f aca="false">IF(B675="mass",D675/I675,0)</f>
        <v>0</v>
      </c>
      <c r="K675" s="7" t="str">
        <f aca="false">IF(B675="mass",COMPLEX(COSH(J675)*COS(J675),SINH(J675)*SIN(J675)),COMPLEX(1,0))</f>
        <v>1</v>
      </c>
      <c r="L675" s="7" t="str">
        <f aca="false">IF(B675="mass",COMPLEX(-I675/(2*E675)*(SINH(J675)*COS(J675)+COSH(J675)*SIN(J675)),-I675/(2*E675)*(COSH(J675)*SIN(J675)-SINH(J675)*COS(J675))),COMPLEX(-H675,0))</f>
        <v>-0</v>
      </c>
      <c r="M675" s="7" t="str">
        <f aca="false">IF(B675="mass",COMPLEX(-E675/I675*(SINH(J675)*COS(J675)-COSH(J675)*SIN(J675)),-E675/I675*(SINH(J675)*COS(J675)+COSH(J675)*SIN(J675))),COMPLEX(0,0))</f>
        <v>0</v>
      </c>
      <c r="N675" s="7" t="str">
        <f aca="false">K675</f>
        <v>1</v>
      </c>
      <c r="O675" s="7" t="str">
        <f aca="false">IMSUM(IMPRODUCT(K675,O674),IMPRODUCT(L675,Q674))</f>
        <v>0.322841007485039+1.86843928992563i</v>
      </c>
      <c r="P675" s="7" t="str">
        <f aca="false">IMSUM(IMPRODUCT(K675,P674),IMPRODUCT(L675,R674))</f>
        <v>-0.170555037931693-0.416615717932553i</v>
      </c>
      <c r="Q675" s="7" t="str">
        <f aca="false">IMSUM(IMPRODUCT(M675,O674),IMPRODUCT(N675,Q674))</f>
        <v>20.9020312963323-26.7915702005007i</v>
      </c>
      <c r="R675" s="7" t="str">
        <f aca="false">IMSUM(IMPRODUCT(M675,P674),IMPRODUCT(N675,R674))</f>
        <v>-3.3834308758381+6.76202102451437i</v>
      </c>
      <c r="S675" s="10" t="n">
        <f aca="false">IF(B675="mass",D675/E675,H675)</f>
        <v>0</v>
      </c>
      <c r="T675" s="12" t="n">
        <f aca="false">IF(B675="mass",F675*G675*D675,0)</f>
        <v>0</v>
      </c>
    </row>
    <row r="676" customFormat="false" ht="15" hidden="false" customHeight="false" outlineLevel="0" collapsed="false">
      <c r="A676" s="7" t="s">
        <v>50</v>
      </c>
      <c r="B676" s="7" t="str">
        <f aca="false">IF(C676="","none",IF(C676="Cavity","res","mass"))</f>
        <v>none</v>
      </c>
      <c r="C676" s="7" t="str">
        <f aca="false">IF(INDEX(Library!$U$5:$U$34,$U$666)="","",INDEX(Library!$U$5:$U$34,$U$666))</f>
        <v/>
      </c>
      <c r="D676" s="11" t="n">
        <f aca="false">IF(B676="mass",INDEX(Library!$V$5:$V$34,$U$666)/1000,0)</f>
        <v>0</v>
      </c>
      <c r="E676" s="7" t="n">
        <f aca="false">IF(B676="mass",INDEX(Materials!$B$5:$B$28,MATCH(C676,Materials!$A$5:$A$28,0)),0)</f>
        <v>0</v>
      </c>
      <c r="F676" s="7" t="n">
        <f aca="false">IF(B676="mass",INDEX(Materials!$C$5:$C$28,MATCH(C676,Materials!$A$5:$A$28,0)),0)</f>
        <v>0</v>
      </c>
      <c r="G676" s="7" t="n">
        <f aca="false">IF(B676="mass",INDEX(Materials!$D$5:$D$28,MATCH(C676,Materials!$A$5:$A$28,0)),0)</f>
        <v>0</v>
      </c>
      <c r="H676" s="10" t="n">
        <f aca="false">IF(B676="res",INDEX(Library!$V$5:$V$34,$U$666),0)</f>
        <v>0</v>
      </c>
      <c r="I676" s="11" t="n">
        <f aca="false">IF(B676="mass",SQRT(E676*($B$2*3600)/(PI()*F676*G676)),0)</f>
        <v>0</v>
      </c>
      <c r="J676" s="10" t="n">
        <f aca="false">IF(B676="mass",D676/I676,0)</f>
        <v>0</v>
      </c>
      <c r="K676" s="7" t="str">
        <f aca="false">IF(B676="mass",COMPLEX(COSH(J676)*COS(J676),SINH(J676)*SIN(J676)),COMPLEX(1,0))</f>
        <v>1</v>
      </c>
      <c r="L676" s="7" t="str">
        <f aca="false">IF(B676="mass",COMPLEX(-I676/(2*E676)*(SINH(J676)*COS(J676)+COSH(J676)*SIN(J676)),-I676/(2*E676)*(COSH(J676)*SIN(J676)-SINH(J676)*COS(J676))),COMPLEX(-H676,0))</f>
        <v>-0</v>
      </c>
      <c r="M676" s="7" t="str">
        <f aca="false">IF(B676="mass",COMPLEX(-E676/I676*(SINH(J676)*COS(J676)-COSH(J676)*SIN(J676)),-E676/I676*(SINH(J676)*COS(J676)+COSH(J676)*SIN(J676))),COMPLEX(0,0))</f>
        <v>0</v>
      </c>
      <c r="N676" s="7" t="str">
        <f aca="false">K676</f>
        <v>1</v>
      </c>
      <c r="O676" s="7" t="str">
        <f aca="false">IMSUM(IMPRODUCT(K676,O675),IMPRODUCT(L676,Q675))</f>
        <v>0.322841007485039+1.86843928992563i</v>
      </c>
      <c r="P676" s="7" t="str">
        <f aca="false">IMSUM(IMPRODUCT(K676,P675),IMPRODUCT(L676,R675))</f>
        <v>-0.170555037931693-0.416615717932553i</v>
      </c>
      <c r="Q676" s="7" t="str">
        <f aca="false">IMSUM(IMPRODUCT(M676,O675),IMPRODUCT(N676,Q675))</f>
        <v>20.9020312963323-26.7915702005007i</v>
      </c>
      <c r="R676" s="7" t="str">
        <f aca="false">IMSUM(IMPRODUCT(M676,P675),IMPRODUCT(N676,R675))</f>
        <v>-3.3834308758381+6.76202102451437i</v>
      </c>
      <c r="S676" s="10" t="n">
        <f aca="false">IF(B676="mass",D676/E676,H676)</f>
        <v>0</v>
      </c>
      <c r="T676" s="12" t="n">
        <f aca="false">IF(B676="mass",F676*G676*D676,0)</f>
        <v>0</v>
      </c>
    </row>
    <row r="677" customFormat="false" ht="15" hidden="false" customHeight="false" outlineLevel="0" collapsed="false">
      <c r="A677" s="7" t="s">
        <v>51</v>
      </c>
      <c r="B677" s="7" t="str">
        <f aca="false">IF($W$666="ground","mass",IF($W$666="adiabatic","res","none"))</f>
        <v>none</v>
      </c>
      <c r="C677" s="7" t="str">
        <f aca="false">IF($W$666="ground","clay soil","")</f>
        <v/>
      </c>
      <c r="D677" s="11" t="n">
        <f aca="false">IF(B677="mass",1,0)</f>
        <v>0</v>
      </c>
      <c r="E677" s="7" t="n">
        <f aca="false">IF(B677="mass",INDEX(Materials!$B$5:$B$28,MATCH(C677,Materials!$A$5:$A$28,0)),0)</f>
        <v>0</v>
      </c>
      <c r="F677" s="7" t="n">
        <f aca="false">IF(B677="mass",INDEX(Materials!$C$5:$C$28,MATCH(C677,Materials!$A$5:$A$28,0)),0)</f>
        <v>0</v>
      </c>
      <c r="G677" s="7" t="n">
        <f aca="false">IF(B677="mass",INDEX(Materials!$D$5:$D$28,MATCH(C677,Materials!$A$5:$A$28,0)),0)</f>
        <v>0</v>
      </c>
      <c r="H677" s="12" t="n">
        <f aca="false">IF(B677="res",1000000,0)</f>
        <v>0</v>
      </c>
      <c r="I677" s="11" t="n">
        <f aca="false">IF(B677="mass",SQRT(E677*($B$2*3600)/(PI()*F677*G677)),0)</f>
        <v>0</v>
      </c>
      <c r="J677" s="10" t="n">
        <f aca="false">IF(B677="mass",D677/I677,0)</f>
        <v>0</v>
      </c>
      <c r="K677" s="7" t="str">
        <f aca="false">IF(B677="mass",COMPLEX(COSH(J677)*COS(J677),SINH(J677)*SIN(J677)),COMPLEX(1,0))</f>
        <v>1</v>
      </c>
      <c r="L677" s="7" t="str">
        <f aca="false">IF(B677="mass",COMPLEX(-I677/(2*E677)*(SINH(J677)*COS(J677)+COSH(J677)*SIN(J677)),-I677/(2*E677)*(COSH(J677)*SIN(J677)-SINH(J677)*COS(J677))),COMPLEX(-H677,0))</f>
        <v>-0</v>
      </c>
      <c r="M677" s="7" t="str">
        <f aca="false">IF(B677="mass",COMPLEX(-E677/I677*(SINH(J677)*COS(J677)-COSH(J677)*SIN(J677)),-E677/I677*(SINH(J677)*COS(J677)+COSH(J677)*SIN(J677))),COMPLEX(0,0))</f>
        <v>0</v>
      </c>
      <c r="N677" s="7" t="str">
        <f aca="false">K677</f>
        <v>1</v>
      </c>
      <c r="O677" s="7" t="str">
        <f aca="false">IMSUM(IMPRODUCT(K677,O676),IMPRODUCT(L677,Q676))</f>
        <v>0.322841007485039+1.86843928992563i</v>
      </c>
      <c r="P677" s="7" t="str">
        <f aca="false">IMSUM(IMPRODUCT(K677,P676),IMPRODUCT(L677,R676))</f>
        <v>-0.170555037931693-0.416615717932553i</v>
      </c>
      <c r="Q677" s="7" t="str">
        <f aca="false">IMSUM(IMPRODUCT(M677,O676),IMPRODUCT(N677,Q676))</f>
        <v>20.9020312963323-26.7915702005007i</v>
      </c>
      <c r="R677" s="7" t="str">
        <f aca="false">IMSUM(IMPRODUCT(M677,P676),IMPRODUCT(N677,R676))</f>
        <v>-3.3834308758381+6.76202102451437i</v>
      </c>
      <c r="S677" s="10" t="n">
        <f aca="false">IF(B677="mass",D677/E677,H677)</f>
        <v>0</v>
      </c>
      <c r="T677" s="12" t="n">
        <f aca="false">IF(B677="mass",F677*G677*D677,0)</f>
        <v>0</v>
      </c>
    </row>
    <row r="678" customFormat="false" ht="15" hidden="false" customHeight="false" outlineLevel="0" collapsed="false">
      <c r="A678" s="7" t="s">
        <v>52</v>
      </c>
      <c r="B678" s="7" t="s">
        <v>42</v>
      </c>
      <c r="H678" s="10" t="n">
        <f aca="false">IF($W$666="ext",0.04,IF($W$666="room",$Y$666,0))</f>
        <v>0.17</v>
      </c>
      <c r="I678" s="11" t="n">
        <f aca="false">IF(B678="mass",SQRT(E678*($B$2*3600)/(PI()*F678*G678)),0)</f>
        <v>0</v>
      </c>
      <c r="J678" s="10" t="n">
        <f aca="false">IF(B678="mass",D678/I678,0)</f>
        <v>0</v>
      </c>
      <c r="K678" s="7" t="str">
        <f aca="false">IF(B678="mass",COMPLEX(COSH(J678)*COS(J678),SINH(J678)*SIN(J678)),COMPLEX(1,0))</f>
        <v>1</v>
      </c>
      <c r="L678" s="7" t="str">
        <f aca="false">IF(B678="mass",COMPLEX(-I678/(2*E678)*(SINH(J678)*COS(J678)+COSH(J678)*SIN(J678)),-I678/(2*E678)*(COSH(J678)*SIN(J678)-SINH(J678)*COS(J678))),COMPLEX(-H678,0))</f>
        <v>-0.17</v>
      </c>
      <c r="M678" s="7" t="str">
        <f aca="false">IF(B678="mass",COMPLEX(-E678/I678*(SINH(J678)*COS(J678)-COSH(J678)*SIN(J678)),-E678/I678*(SINH(J678)*COS(J678)+COSH(J678)*SIN(J678))),COMPLEX(0,0))</f>
        <v>0</v>
      </c>
      <c r="N678" s="7" t="str">
        <f aca="false">K678</f>
        <v>1</v>
      </c>
      <c r="O678" s="7" t="str">
        <f aca="false">IMSUM(IMPRODUCT(K678,O677),IMPRODUCT(L678,Q677))</f>
        <v>-3.23050431289145+6.42300622401075i</v>
      </c>
      <c r="P678" s="7" t="str">
        <f aca="false">IMSUM(IMPRODUCT(K678,P677),IMPRODUCT(L678,R677))</f>
        <v>0.404628210960784-1.56615929209999i</v>
      </c>
      <c r="Q678" s="7" t="str">
        <f aca="false">IMSUM(IMPRODUCT(M678,O677),IMPRODUCT(N678,Q677))</f>
        <v>20.9020312963323-26.7915702005007i</v>
      </c>
      <c r="R678" s="7" t="str">
        <f aca="false">IMSUM(IMPRODUCT(M678,P677),IMPRODUCT(N678,R677))</f>
        <v>-3.3834308758381+6.76202102451437i</v>
      </c>
      <c r="S678" s="10" t="n">
        <f aca="false">IF(B678="mass",D678/E678,H678)</f>
        <v>0.17</v>
      </c>
      <c r="T678" s="12" t="n">
        <f aca="false">IF(B678="mass",F678*G678*D678,0)</f>
        <v>0</v>
      </c>
    </row>
    <row r="679" customFormat="false" ht="15" hidden="false" customHeight="false" outlineLevel="0" collapsed="false">
      <c r="A679" s="9" t="s">
        <v>53</v>
      </c>
      <c r="B679" s="13" t="str">
        <f aca="false">IF(OR($W$666="ext",$W$666="ground"),1/SUM(S668:S678),"–")</f>
        <v>–</v>
      </c>
      <c r="C679" s="9" t="s">
        <v>54</v>
      </c>
      <c r="D679" s="13" t="n">
        <f aca="false">IMABS(IMDIV(IMPRODUCT(O678,COMPLEX(-1,0)),P678))</f>
        <v>4.44468768632459</v>
      </c>
      <c r="E679" s="9" t="s">
        <v>55</v>
      </c>
      <c r="F679" s="14" t="n">
        <f aca="false">IMARGUMENT(IMDIV(IMPRODUCT(O678,COMPLEX(-1,0)),P678))*$B$2/(2*PI())</f>
        <v>0.814298983704525</v>
      </c>
      <c r="G679" s="9" t="s">
        <v>56</v>
      </c>
      <c r="H679" s="13" t="str">
        <f aca="false">IF($W$666="ext",IMABS(IMDIV(COMPLEX(-1,0),P678))*SUM(S668:S678),"–")</f>
        <v>–</v>
      </c>
      <c r="I679" s="9" t="s">
        <v>57</v>
      </c>
      <c r="J679" s="14" t="str">
        <f aca="false">IF($W$666="ext",MOD(-IMARGUMENT(IMDIV(COMPLEX(-1,0),P678))*$B$2/(2*PI()),24),"–")</f>
        <v>–</v>
      </c>
      <c r="K679" s="9" t="s">
        <v>58</v>
      </c>
      <c r="L679" s="15" t="n">
        <f aca="false">($B$2*3600)/(2*PI())*IMABS(IMDIV(IMSUB(O678,COMPLEX(1,0)),P678))/1000</f>
        <v>65.3811141122019</v>
      </c>
      <c r="M679" s="9" t="s">
        <v>59</v>
      </c>
      <c r="N679" s="15" t="n">
        <f aca="false">SUM(T669:T676)/1000</f>
        <v>430</v>
      </c>
      <c r="O679" s="9" t="s">
        <v>60</v>
      </c>
      <c r="P679" s="16" t="n">
        <f aca="false">SUM(S669:S676)</f>
        <v>0.137228260869565</v>
      </c>
    </row>
    <row r="681" customFormat="false" ht="15" hidden="false" customHeight="false" outlineLevel="0" collapsed="false">
      <c r="A681" s="4" t="s">
        <v>134</v>
      </c>
    </row>
    <row r="682" customFormat="false" ht="15" hidden="false" customHeight="false" outlineLevel="0" collapsed="false">
      <c r="A682" s="9"/>
      <c r="B682" s="9" t="s">
        <v>62</v>
      </c>
      <c r="C682" s="9" t="s">
        <v>63</v>
      </c>
      <c r="D682" s="9"/>
      <c r="E682" s="9"/>
      <c r="F682" s="9"/>
      <c r="G682" s="9"/>
      <c r="H682" s="9"/>
      <c r="I682" s="9"/>
      <c r="J682" s="9"/>
      <c r="K682" s="9" t="s">
        <v>32</v>
      </c>
      <c r="L682" s="9" t="s">
        <v>33</v>
      </c>
      <c r="M682" s="9" t="s">
        <v>34</v>
      </c>
      <c r="N682" s="9" t="s">
        <v>35</v>
      </c>
      <c r="O682" s="9" t="s">
        <v>36</v>
      </c>
      <c r="P682" s="9" t="s">
        <v>37</v>
      </c>
      <c r="Q682" s="9" t="s">
        <v>38</v>
      </c>
      <c r="R682" s="9" t="s">
        <v>39</v>
      </c>
    </row>
    <row r="683" customFormat="false" ht="15" hidden="false" customHeight="false" outlineLevel="0" collapsed="false">
      <c r="A683" s="7" t="s">
        <v>22</v>
      </c>
      <c r="B683" s="7" t="s">
        <v>42</v>
      </c>
      <c r="C683" s="10" t="n">
        <f aca="false">$Y$666</f>
        <v>0.17</v>
      </c>
      <c r="K683" s="7" t="str">
        <f aca="false">COMPLEX(1,0)</f>
        <v>1</v>
      </c>
      <c r="L683" s="7" t="str">
        <f aca="false">COMPLEX(-C683,0)</f>
        <v>-0.17</v>
      </c>
      <c r="M683" s="7" t="str">
        <f aca="false">COMPLEX(0,0)</f>
        <v>0</v>
      </c>
      <c r="N683" s="7" t="str">
        <f aca="false">COMPLEX(1,0)</f>
        <v>1</v>
      </c>
      <c r="O683" s="7" t="str">
        <f aca="false">K683</f>
        <v>1</v>
      </c>
      <c r="P683" s="7" t="str">
        <f aca="false">L683</f>
        <v>-0.17</v>
      </c>
      <c r="Q683" s="7" t="str">
        <f aca="false">M683</f>
        <v>0</v>
      </c>
      <c r="R683" s="7" t="str">
        <f aca="false">N683</f>
        <v>1</v>
      </c>
    </row>
    <row r="684" customFormat="false" ht="15" hidden="false" customHeight="false" outlineLevel="0" collapsed="false">
      <c r="A684" s="7" t="s">
        <v>64</v>
      </c>
      <c r="B684" s="7" t="s">
        <v>65</v>
      </c>
      <c r="C684" s="10" t="n">
        <f aca="false">INDEX(Classes!$B$5:$F$9,MATCH(Engine!$C$665,Classes!$A$5:$A$9,0),5)*(N679*1000)</f>
        <v>53750</v>
      </c>
      <c r="K684" s="7" t="str">
        <f aca="false">COMPLEX(1,0)</f>
        <v>1</v>
      </c>
      <c r="L684" s="7" t="str">
        <f aca="false">COMPLEX(0,0)</f>
        <v>0</v>
      </c>
      <c r="M684" s="7" t="str">
        <f aca="false">COMPLEX(0,-(2*PI()/($B$2*3600))*C684)</f>
        <v>-3.90881030394563i</v>
      </c>
      <c r="N684" s="7" t="str">
        <f aca="false">COMPLEX(1,0)</f>
        <v>1</v>
      </c>
      <c r="O684" s="7" t="str">
        <f aca="false">IMSUM(IMPRODUCT(K684,O683),IMPRODUCT(L684,Q683))</f>
        <v>1</v>
      </c>
      <c r="P684" s="7" t="str">
        <f aca="false">IMSUM(IMPRODUCT(K684,P683),IMPRODUCT(L684,R683))</f>
        <v>-0.17</v>
      </c>
      <c r="Q684" s="7" t="str">
        <f aca="false">IMSUM(IMPRODUCT(M684,O683),IMPRODUCT(N684,Q683))</f>
        <v>-3.90881030394563i</v>
      </c>
      <c r="R684" s="7" t="str">
        <f aca="false">IMSUM(IMPRODUCT(M684,P683),IMPRODUCT(N684,R683))</f>
        <v>1+0.664497751670757i</v>
      </c>
    </row>
    <row r="685" customFormat="false" ht="15" hidden="false" customHeight="false" outlineLevel="0" collapsed="false">
      <c r="A685" s="7" t="s">
        <v>66</v>
      </c>
      <c r="B685" s="7" t="s">
        <v>42</v>
      </c>
      <c r="C685" s="10" t="n">
        <f aca="false">P679/6</f>
        <v>0.0228713768115942</v>
      </c>
      <c r="K685" s="7" t="str">
        <f aca="false">COMPLEX(1,0)</f>
        <v>1</v>
      </c>
      <c r="L685" s="7" t="str">
        <f aca="false">COMPLEX(-C685,0)</f>
        <v>-0.0228713768115942</v>
      </c>
      <c r="M685" s="7" t="str">
        <f aca="false">COMPLEX(0,0)</f>
        <v>0</v>
      </c>
      <c r="N685" s="7" t="str">
        <f aca="false">COMPLEX(1,0)</f>
        <v>1</v>
      </c>
      <c r="O685" s="7" t="str">
        <f aca="false">IMSUM(IMPRODUCT(K685,O684),IMPRODUCT(L685,Q684))</f>
        <v>1+0.0893998733465826i</v>
      </c>
      <c r="P685" s="7" t="str">
        <f aca="false">IMSUM(IMPRODUCT(K685,P684),IMPRODUCT(L685,R684))</f>
        <v>-0.192871376811594-0.015197978468919i</v>
      </c>
      <c r="Q685" s="7" t="str">
        <f aca="false">IMSUM(IMPRODUCT(M685,O684),IMPRODUCT(N685,Q684))</f>
        <v>-3.90881030394563i</v>
      </c>
      <c r="R685" s="7" t="str">
        <f aca="false">IMSUM(IMPRODUCT(M685,P684),IMPRODUCT(N685,R684))</f>
        <v>1+0.664497751670757i</v>
      </c>
    </row>
    <row r="686" customFormat="false" ht="15" hidden="false" customHeight="false" outlineLevel="0" collapsed="false">
      <c r="A686" s="7" t="s">
        <v>67</v>
      </c>
      <c r="B686" s="7" t="s">
        <v>65</v>
      </c>
      <c r="C686" s="10" t="n">
        <f aca="false">INDEX(Classes!$B$5:$F$9,MATCH(Engine!$C$665,Classes!$A$5:$A$9,0),4)*(N679*1000)</f>
        <v>107500</v>
      </c>
      <c r="K686" s="7" t="str">
        <f aca="false">COMPLEX(1,0)</f>
        <v>1</v>
      </c>
      <c r="L686" s="7" t="str">
        <f aca="false">COMPLEX(0,0)</f>
        <v>0</v>
      </c>
      <c r="M686" s="7" t="str">
        <f aca="false">COMPLEX(0,-(2*PI()/($B$2*3600))*C686)</f>
        <v>-7.81762060789127i</v>
      </c>
      <c r="N686" s="7" t="str">
        <f aca="false">COMPLEX(1,0)</f>
        <v>1</v>
      </c>
      <c r="O686" s="7" t="str">
        <f aca="false">IMSUM(IMPRODUCT(K686,O685),IMPRODUCT(L686,Q685))</f>
        <v>1+0.0893998733465826i</v>
      </c>
      <c r="P686" s="7" t="str">
        <f aca="false">IMSUM(IMPRODUCT(K686,P685),IMPRODUCT(L686,R685))</f>
        <v>-0.192871376811594-0.015197978468919i</v>
      </c>
      <c r="Q686" s="7" t="str">
        <f aca="false">IMSUM(IMPRODUCT(M686,O685),IMPRODUCT(N686,Q685))</f>
        <v>0.698894292217114-11.7264309118369i</v>
      </c>
      <c r="R686" s="7" t="str">
        <f aca="false">IMSUM(IMPRODUCT(M686,P685),IMPRODUCT(N686,R685))</f>
        <v>0.881187970323091+2.17229300170544i</v>
      </c>
    </row>
    <row r="687" customFormat="false" ht="15" hidden="false" customHeight="false" outlineLevel="0" collapsed="false">
      <c r="A687" s="7" t="s">
        <v>68</v>
      </c>
      <c r="B687" s="7" t="s">
        <v>42</v>
      </c>
      <c r="C687" s="10" t="n">
        <f aca="false">P679/3</f>
        <v>0.0457427536231884</v>
      </c>
      <c r="K687" s="7" t="str">
        <f aca="false">COMPLEX(1,0)</f>
        <v>1</v>
      </c>
      <c r="L687" s="7" t="str">
        <f aca="false">COMPLEX(-C687,0)</f>
        <v>-0.0457427536231884</v>
      </c>
      <c r="M687" s="7" t="str">
        <f aca="false">COMPLEX(0,0)</f>
        <v>0</v>
      </c>
      <c r="N687" s="7" t="str">
        <f aca="false">COMPLEX(1,0)</f>
        <v>1</v>
      </c>
      <c r="O687" s="7" t="str">
        <f aca="false">IMSUM(IMPRODUCT(K687,O686),IMPRODUCT(L687,Q686))</f>
        <v>0.96803065058246+0.625799113426079i</v>
      </c>
      <c r="P687" s="7" t="str">
        <f aca="false">IMSUM(IMPRODUCT(K687,P686),IMPRODUCT(L687,R686))</f>
        <v>-0.233179341033801-0.114564642043307i</v>
      </c>
      <c r="Q687" s="7" t="str">
        <f aca="false">IMSUM(IMPRODUCT(M687,O686),IMPRODUCT(N687,Q686))</f>
        <v>0.698894292217114-11.7264309118369i</v>
      </c>
      <c r="R687" s="7" t="str">
        <f aca="false">IMSUM(IMPRODUCT(M687,P686),IMPRODUCT(N687,R686))</f>
        <v>0.881187970323091+2.17229300170544i</v>
      </c>
    </row>
    <row r="688" customFormat="false" ht="15" hidden="false" customHeight="false" outlineLevel="0" collapsed="false">
      <c r="A688" s="7" t="s">
        <v>69</v>
      </c>
      <c r="B688" s="7" t="s">
        <v>65</v>
      </c>
      <c r="C688" s="10" t="n">
        <f aca="false">INDEX(Classes!$B$5:$F$9,MATCH(Engine!$C$665,Classes!$A$5:$A$9,0),3)*(N679*1000)</f>
        <v>107500</v>
      </c>
      <c r="K688" s="7" t="str">
        <f aca="false">COMPLEX(1,0)</f>
        <v>1</v>
      </c>
      <c r="L688" s="7" t="str">
        <f aca="false">COMPLEX(0,0)</f>
        <v>0</v>
      </c>
      <c r="M688" s="7" t="str">
        <f aca="false">COMPLEX(0,-(2*PI()/($B$2*3600))*C688)</f>
        <v>-7.81762060789127i</v>
      </c>
      <c r="N688" s="7" t="str">
        <f aca="false">COMPLEX(1,0)</f>
        <v>1</v>
      </c>
      <c r="O688" s="7" t="str">
        <f aca="false">IMSUM(IMPRODUCT(K688,O687),IMPRODUCT(L688,Q687))</f>
        <v>0.96803065058246+0.625799113426079i</v>
      </c>
      <c r="P688" s="7" t="str">
        <f aca="false">IMSUM(IMPRODUCT(K688,P687),IMPRODUCT(L688,R687))</f>
        <v>-0.233179341033801-0.114564642043307i</v>
      </c>
      <c r="Q688" s="7" t="str">
        <f aca="false">IMSUM(IMPRODUCT(M688,O687),IMPRODUCT(N688,Q687))</f>
        <v>5.59115433773691-19.2941272749007i</v>
      </c>
      <c r="R688" s="7" t="str">
        <f aca="false">IMSUM(IMPRODUCT(M688,P687),IMPRODUCT(N688,R687))</f>
        <v>-0.0144349362503531+3.99520062350579i</v>
      </c>
    </row>
    <row r="689" customFormat="false" ht="15" hidden="false" customHeight="false" outlineLevel="0" collapsed="false">
      <c r="A689" s="7" t="s">
        <v>68</v>
      </c>
      <c r="B689" s="7" t="s">
        <v>42</v>
      </c>
      <c r="C689" s="10" t="n">
        <f aca="false">P679/3</f>
        <v>0.0457427536231884</v>
      </c>
      <c r="K689" s="7" t="str">
        <f aca="false">COMPLEX(1,0)</f>
        <v>1</v>
      </c>
      <c r="L689" s="7" t="str">
        <f aca="false">COMPLEX(-C689,0)</f>
        <v>-0.0457427536231884</v>
      </c>
      <c r="M689" s="7" t="str">
        <f aca="false">COMPLEX(0,0)</f>
        <v>0</v>
      </c>
      <c r="N689" s="7" t="str">
        <f aca="false">COMPLEX(1,0)</f>
        <v>1</v>
      </c>
      <c r="O689" s="7" t="str">
        <f aca="false">IMSUM(IMPRODUCT(K689,O688),IMPRODUCT(L689,Q688))</f>
        <v>0.712275855242139+1.5083656237363i</v>
      </c>
      <c r="P689" s="7" t="str">
        <f aca="false">IMSUM(IMPRODUCT(K689,P688),IMPRODUCT(L689,R688))</f>
        <v>-0.232519047301335-0.297316119839541i</v>
      </c>
      <c r="Q689" s="7" t="str">
        <f aca="false">IMSUM(IMPRODUCT(M689,O688),IMPRODUCT(N689,Q688))</f>
        <v>5.59115433773691-19.2941272749007i</v>
      </c>
      <c r="R689" s="7" t="str">
        <f aca="false">IMSUM(IMPRODUCT(M689,P688),IMPRODUCT(N689,R688))</f>
        <v>-0.0144349362503531+3.99520062350579i</v>
      </c>
    </row>
    <row r="690" customFormat="false" ht="15" hidden="false" customHeight="false" outlineLevel="0" collapsed="false">
      <c r="A690" s="7" t="s">
        <v>70</v>
      </c>
      <c r="B690" s="7" t="s">
        <v>65</v>
      </c>
      <c r="C690" s="10" t="n">
        <f aca="false">INDEX(Classes!$B$5:$F$9,MATCH(Engine!$C$665,Classes!$A$5:$A$9,0),2)*(N679*1000)</f>
        <v>107500</v>
      </c>
      <c r="K690" s="7" t="str">
        <f aca="false">COMPLEX(1,0)</f>
        <v>1</v>
      </c>
      <c r="L690" s="7" t="str">
        <f aca="false">COMPLEX(0,0)</f>
        <v>0</v>
      </c>
      <c r="M690" s="7" t="str">
        <f aca="false">COMPLEX(0,-(2*PI()/($B$2*3600))*C690)</f>
        <v>-7.81762060789127i</v>
      </c>
      <c r="N690" s="7" t="str">
        <f aca="false">COMPLEX(1,0)</f>
        <v>1</v>
      </c>
      <c r="O690" s="7" t="str">
        <f aca="false">IMSUM(IMPRODUCT(K690,O689),IMPRODUCT(L690,Q689))</f>
        <v>0.712275855242139+1.5083656237363i</v>
      </c>
      <c r="P690" s="7" t="str">
        <f aca="false">IMSUM(IMPRODUCT(K690,P689),IMPRODUCT(L690,R689))</f>
        <v>-0.232519047301335-0.297316119839541i</v>
      </c>
      <c r="Q690" s="7" t="str">
        <f aca="false">IMSUM(IMPRODUCT(M690,O689),IMPRODUCT(N690,Q689))</f>
        <v>17.3829845220926-24.862429679345i</v>
      </c>
      <c r="R690" s="7" t="str">
        <f aca="false">IMSUM(IMPRODUCT(M690,P689),IMPRODUCT(N690,R689))</f>
        <v>-2.33873956176622+5.81294631941595i</v>
      </c>
    </row>
    <row r="691" customFormat="false" ht="15" hidden="false" customHeight="false" outlineLevel="0" collapsed="false">
      <c r="A691" s="7" t="s">
        <v>66</v>
      </c>
      <c r="B691" s="7" t="s">
        <v>42</v>
      </c>
      <c r="C691" s="10" t="n">
        <f aca="false">P679/6</f>
        <v>0.0228713768115942</v>
      </c>
      <c r="K691" s="7" t="str">
        <f aca="false">COMPLEX(1,0)</f>
        <v>1</v>
      </c>
      <c r="L691" s="7" t="str">
        <f aca="false">COMPLEX(-C691,0)</f>
        <v>-0.0228713768115942</v>
      </c>
      <c r="M691" s="7" t="str">
        <f aca="false">COMPLEX(0,0)</f>
        <v>0</v>
      </c>
      <c r="N691" s="7" t="str">
        <f aca="false">COMPLEX(1,0)</f>
        <v>1</v>
      </c>
      <c r="O691" s="7" t="str">
        <f aca="false">IMSUM(IMPRODUCT(K691,O690),IMPRODUCT(L691,Q690))</f>
        <v>0.314703066127249+2.07700362138436i</v>
      </c>
      <c r="P691" s="7" t="str">
        <f aca="false">IMSUM(IMPRODUCT(K691,P690),IMPRODUCT(L691,R690))</f>
        <v>-0.179028853519997-0.430266205496473i</v>
      </c>
      <c r="Q691" s="7" t="str">
        <f aca="false">IMSUM(IMPRODUCT(M691,O690),IMPRODUCT(N691,Q690))</f>
        <v>17.3829845220926-24.862429679345i</v>
      </c>
      <c r="R691" s="7" t="str">
        <f aca="false">IMSUM(IMPRODUCT(M691,P690),IMPRODUCT(N691,R690))</f>
        <v>-2.33873956176622+5.81294631941595i</v>
      </c>
    </row>
    <row r="692" customFormat="false" ht="15" hidden="false" customHeight="false" outlineLevel="0" collapsed="false">
      <c r="A692" s="7" t="s">
        <v>71</v>
      </c>
      <c r="B692" s="7" t="s">
        <v>65</v>
      </c>
      <c r="C692" s="10" t="n">
        <f aca="false">INDEX(Classes!$B$5:$F$9,MATCH(Engine!$C$665,Classes!$A$5:$A$9,0),1)*(N679*1000)</f>
        <v>53750</v>
      </c>
      <c r="K692" s="7" t="str">
        <f aca="false">COMPLEX(1,0)</f>
        <v>1</v>
      </c>
      <c r="L692" s="7" t="str">
        <f aca="false">COMPLEX(0,0)</f>
        <v>0</v>
      </c>
      <c r="M692" s="7" t="str">
        <f aca="false">COMPLEX(0,-(2*PI()/($B$2*3600))*C692)</f>
        <v>-3.90881030394563i</v>
      </c>
      <c r="N692" s="7" t="str">
        <f aca="false">COMPLEX(1,0)</f>
        <v>1</v>
      </c>
      <c r="O692" s="7" t="str">
        <f aca="false">IMSUM(IMPRODUCT(K692,O691),IMPRODUCT(L692,Q691))</f>
        <v>0.314703066127249+2.07700362138436i</v>
      </c>
      <c r="P692" s="7" t="str">
        <f aca="false">IMSUM(IMPRODUCT(K692,P691),IMPRODUCT(L692,R691))</f>
        <v>-0.179028853519997-0.430266205496473i</v>
      </c>
      <c r="Q692" s="7" t="str">
        <f aca="false">IMSUM(IMPRODUCT(M692,O691),IMPRODUCT(N692,Q691))</f>
        <v>25.5015976786922-26.0925442669065i</v>
      </c>
      <c r="R692" s="7" t="str">
        <f aca="false">IMSUM(IMPRODUCT(M692,P691),IMPRODUCT(N692,R691))</f>
        <v>-4.02056853925042+6.51273614675849i</v>
      </c>
    </row>
    <row r="693" customFormat="false" ht="15" hidden="false" customHeight="false" outlineLevel="0" collapsed="false">
      <c r="A693" s="7" t="s">
        <v>72</v>
      </c>
      <c r="B693" s="7" t="s">
        <v>73</v>
      </c>
      <c r="K693" s="7" t="str">
        <f aca="false">K677</f>
        <v>1</v>
      </c>
      <c r="L693" s="7" t="str">
        <f aca="false">L677</f>
        <v>-0</v>
      </c>
      <c r="M693" s="7" t="str">
        <f aca="false">M677</f>
        <v>0</v>
      </c>
      <c r="N693" s="7" t="str">
        <f aca="false">N677</f>
        <v>1</v>
      </c>
      <c r="O693" s="7" t="str">
        <f aca="false">IMSUM(IMPRODUCT(K693,O692),IMPRODUCT(L693,Q692))</f>
        <v>0.314703066127249+2.07700362138436i</v>
      </c>
      <c r="P693" s="7" t="str">
        <f aca="false">IMSUM(IMPRODUCT(K693,P692),IMPRODUCT(L693,R692))</f>
        <v>-0.179028853519997-0.430266205496473i</v>
      </c>
      <c r="Q693" s="7" t="str">
        <f aca="false">IMSUM(IMPRODUCT(M693,O692),IMPRODUCT(N693,Q692))</f>
        <v>25.5015976786922-26.0925442669065i</v>
      </c>
      <c r="R693" s="7" t="str">
        <f aca="false">IMSUM(IMPRODUCT(M693,P692),IMPRODUCT(N693,R692))</f>
        <v>-4.02056853925042+6.51273614675849i</v>
      </c>
    </row>
    <row r="694" customFormat="false" ht="15" hidden="false" customHeight="false" outlineLevel="0" collapsed="false">
      <c r="A694" s="7" t="s">
        <v>52</v>
      </c>
      <c r="B694" s="7" t="s">
        <v>73</v>
      </c>
      <c r="K694" s="7" t="str">
        <f aca="false">K678</f>
        <v>1</v>
      </c>
      <c r="L694" s="7" t="str">
        <f aca="false">L678</f>
        <v>-0.17</v>
      </c>
      <c r="M694" s="7" t="str">
        <f aca="false">M678</f>
        <v>0</v>
      </c>
      <c r="N694" s="7" t="str">
        <f aca="false">N678</f>
        <v>1</v>
      </c>
      <c r="O694" s="7" t="str">
        <f aca="false">IMSUM(IMPRODUCT(K694,O693),IMPRODUCT(L694,Q693))</f>
        <v>-4.02056853925042+6.51273614675847i</v>
      </c>
      <c r="P694" s="7" t="str">
        <f aca="false">IMSUM(IMPRODUCT(K694,P693),IMPRODUCT(L694,R693))</f>
        <v>0.504467798152574-1.53743135044541i</v>
      </c>
      <c r="Q694" s="7" t="str">
        <f aca="false">IMSUM(IMPRODUCT(M694,O693),IMPRODUCT(N694,Q693))</f>
        <v>25.5015976786922-26.0925442669065i</v>
      </c>
      <c r="R694" s="7" t="str">
        <f aca="false">IMSUM(IMPRODUCT(M694,P693),IMPRODUCT(N694,R693))</f>
        <v>-4.02056853925042+6.51273614675849i</v>
      </c>
    </row>
    <row r="695" customFormat="false" ht="15" hidden="false" customHeight="false" outlineLevel="0" collapsed="false">
      <c r="A695" s="9" t="s">
        <v>74</v>
      </c>
      <c r="B695" s="13" t="n">
        <f aca="false">IMABS(IMDIV(IMPRODUCT(O694,COMPLEX(-1,0)),P694))</f>
        <v>4.73017598659687</v>
      </c>
    </row>
    <row r="698" customFormat="false" ht="15" hidden="false" customHeight="false" outlineLevel="0" collapsed="false">
      <c r="A698" s="4" t="s">
        <v>135</v>
      </c>
      <c r="B698" s="9" t="s">
        <v>18</v>
      </c>
      <c r="C698" s="7" t="str">
        <f aca="false">INDEX(Library!$F$5:$F$34,MATCH(A698,Library!$A$5:$A$34,0))</f>
        <v>D</v>
      </c>
    </row>
    <row r="699" customFormat="false" ht="15" hidden="false" customHeight="false" outlineLevel="0" collapsed="false">
      <c r="A699" s="4" t="s">
        <v>136</v>
      </c>
      <c r="T699" s="9" t="s">
        <v>20</v>
      </c>
      <c r="U699" s="7" t="n">
        <f aca="false">MATCH($A$698,Library!$A$5:$A$34,0)</f>
        <v>22</v>
      </c>
      <c r="V699" s="9" t="s">
        <v>21</v>
      </c>
      <c r="W699" s="7" t="str">
        <f aca="false">INDEX(Library!$D$5:$D$34,$U$699)</f>
        <v>room</v>
      </c>
      <c r="X699" s="9" t="s">
        <v>22</v>
      </c>
      <c r="Y699" s="7" t="n">
        <f aca="false">INDEX(Library!$E$5:$E$34,$U$699)</f>
        <v>0.17</v>
      </c>
    </row>
    <row r="700" customFormat="false" ht="15" hidden="false" customHeight="false" outlineLevel="0" collapsed="false">
      <c r="A700" s="9"/>
      <c r="B700" s="9" t="s">
        <v>23</v>
      </c>
      <c r="C700" s="9" t="s">
        <v>24</v>
      </c>
      <c r="D700" s="9" t="s">
        <v>25</v>
      </c>
      <c r="E700" s="9" t="s">
        <v>26</v>
      </c>
      <c r="F700" s="9" t="s">
        <v>27</v>
      </c>
      <c r="G700" s="9" t="s">
        <v>28</v>
      </c>
      <c r="H700" s="9" t="s">
        <v>29</v>
      </c>
      <c r="I700" s="9" t="s">
        <v>30</v>
      </c>
      <c r="J700" s="9" t="s">
        <v>31</v>
      </c>
      <c r="K700" s="9" t="s">
        <v>32</v>
      </c>
      <c r="L700" s="9" t="s">
        <v>33</v>
      </c>
      <c r="M700" s="9" t="s">
        <v>34</v>
      </c>
      <c r="N700" s="9" t="s">
        <v>35</v>
      </c>
      <c r="O700" s="9" t="s">
        <v>36</v>
      </c>
      <c r="P700" s="9" t="s">
        <v>37</v>
      </c>
      <c r="Q700" s="9" t="s">
        <v>38</v>
      </c>
      <c r="R700" s="9" t="s">
        <v>39</v>
      </c>
      <c r="S700" s="9" t="s">
        <v>40</v>
      </c>
      <c r="T700" s="9" t="s">
        <v>41</v>
      </c>
    </row>
    <row r="701" customFormat="false" ht="15" hidden="false" customHeight="false" outlineLevel="0" collapsed="false">
      <c r="A701" s="7" t="s">
        <v>22</v>
      </c>
      <c r="B701" s="7" t="s">
        <v>42</v>
      </c>
      <c r="H701" s="10" t="n">
        <f aca="false">$Y$699</f>
        <v>0.17</v>
      </c>
      <c r="I701" s="11" t="n">
        <f aca="false">IF(B701="mass",SQRT(E701*($B$2*3600)/(PI()*F701*G701)),0)</f>
        <v>0</v>
      </c>
      <c r="J701" s="10" t="n">
        <f aca="false">IF(B701="mass",D701/I701,0)</f>
        <v>0</v>
      </c>
      <c r="K701" s="7" t="str">
        <f aca="false">IF(B701="mass",COMPLEX(COSH(J701)*COS(J701),SINH(J701)*SIN(J701)),COMPLEX(1,0))</f>
        <v>1</v>
      </c>
      <c r="L701" s="7" t="str">
        <f aca="false">IF(B701="mass",COMPLEX(-I701/(2*E701)*(SINH(J701)*COS(J701)+COSH(J701)*SIN(J701)),-I701/(2*E701)*(COSH(J701)*SIN(J701)-SINH(J701)*COS(J701))),COMPLEX(-H701,0))</f>
        <v>-0.17</v>
      </c>
      <c r="M701" s="7" t="str">
        <f aca="false">IF(B701="mass",COMPLEX(-E701/I701*(SINH(J701)*COS(J701)-COSH(J701)*SIN(J701)),-E701/I701*(SINH(J701)*COS(J701)+COSH(J701)*SIN(J701))),COMPLEX(0,0))</f>
        <v>0</v>
      </c>
      <c r="N701" s="7" t="str">
        <f aca="false">K701</f>
        <v>1</v>
      </c>
      <c r="O701" s="7" t="str">
        <f aca="false">K701</f>
        <v>1</v>
      </c>
      <c r="P701" s="7" t="str">
        <f aca="false">L701</f>
        <v>-0.17</v>
      </c>
      <c r="Q701" s="7" t="str">
        <f aca="false">M701</f>
        <v>0</v>
      </c>
      <c r="R701" s="7" t="str">
        <f aca="false">N701</f>
        <v>1</v>
      </c>
      <c r="S701" s="10" t="n">
        <f aca="false">IF(B701="mass",D701/E701,H701)</f>
        <v>0.17</v>
      </c>
      <c r="T701" s="12" t="n">
        <f aca="false">IF(B701="mass",F701*G701*D701,0)</f>
        <v>0</v>
      </c>
    </row>
    <row r="702" customFormat="false" ht="15" hidden="false" customHeight="false" outlineLevel="0" collapsed="false">
      <c r="A702" s="7" t="s">
        <v>43</v>
      </c>
      <c r="B702" s="7" t="str">
        <f aca="false">IF(C702="","none",IF(C702="Cavity","res","mass"))</f>
        <v>mass</v>
      </c>
      <c r="C702" s="7" t="str">
        <f aca="false">IF(INDEX(Library!$G$5:$G$34,$U$699)="","",INDEX(Library!$G$5:$G$34,$U$699))</f>
        <v>screed</v>
      </c>
      <c r="D702" s="11" t="n">
        <f aca="false">IF(B702="mass",INDEX(Library!$H$5:$H$34,$U$699)/1000,0)</f>
        <v>0.05</v>
      </c>
      <c r="E702" s="7" t="n">
        <f aca="false">IF(B702="mass",INDEX(Materials!$B$5:$B$28,MATCH(C702,Materials!$A$5:$A$28,0)),0)</f>
        <v>1.15</v>
      </c>
      <c r="F702" s="7" t="n">
        <f aca="false">IF(B702="mass",INDEX(Materials!$C$5:$C$28,MATCH(C702,Materials!$A$5:$A$28,0)),0)</f>
        <v>2000</v>
      </c>
      <c r="G702" s="7" t="n">
        <f aca="false">IF(B702="mass",INDEX(Materials!$D$5:$D$28,MATCH(C702,Materials!$A$5:$A$28,0)),0)</f>
        <v>1000</v>
      </c>
      <c r="H702" s="10" t="n">
        <f aca="false">IF(B702="res",INDEX(Library!$H$5:$H$34,$U$699),0)</f>
        <v>0</v>
      </c>
      <c r="I702" s="11" t="n">
        <f aca="false">IF(B702="mass",SQRT(E702*($B$2*3600)/(PI()*F702*G702)),0)</f>
        <v>0.125752276900304</v>
      </c>
      <c r="J702" s="10" t="n">
        <f aca="false">IF(B702="mass",D702/I702,0)</f>
        <v>0.397607114817013</v>
      </c>
      <c r="K702" s="7" t="str">
        <f aca="false">IF(B702="mass",COMPLEX(COSH(J702)*COS(J702),SINH(J702)*SIN(J702)),COMPLEX(1,0))</f>
        <v>0.995834765144997+0.158047516819254i</v>
      </c>
      <c r="L702" s="7" t="str">
        <f aca="false">IF(B702="mass",COMPLEX(-I702/(2*E702)*(SINH(J702)*COS(J702)+COSH(J702)*SIN(J702)),-I702/(2*E702)*(COSH(J702)*SIN(J702)-SINH(J702)*COS(J702))),COMPLEX(-H702,0))</f>
        <v>-0.0434420404780838-0.00229090728886174i</v>
      </c>
      <c r="M702" s="7" t="str">
        <f aca="false">IF(B702="mass",COMPLEX(-E702/I702*(SINH(J702)*COS(J702)-COSH(J702)*SIN(J702)),-E702/I702*(SINH(J702)*COS(J702)+COSH(J702)*SIN(J702))),COMPLEX(0,0))</f>
        <v>0.383178802548836-7.2661469678858i</v>
      </c>
      <c r="N702" s="7" t="str">
        <f aca="false">K702</f>
        <v>0.995834765144997+0.158047516819254i</v>
      </c>
      <c r="O702" s="7" t="str">
        <f aca="false">IMSUM(IMPRODUCT(K702,O701),IMPRODUCT(L702,Q701))</f>
        <v>0.995834765144997+0.158047516819254i</v>
      </c>
      <c r="P702" s="7" t="str">
        <f aca="false">IMSUM(IMPRODUCT(K702,P701),IMPRODUCT(L702,R701))</f>
        <v>-0.212733950552733-0.029158985148135i</v>
      </c>
      <c r="Q702" s="7" t="str">
        <f aca="false">IMSUM(IMPRODUCT(M702,O701),IMPRODUCT(N702,Q701))</f>
        <v>0.383178802548836-7.2661469678858i</v>
      </c>
      <c r="R702" s="7" t="str">
        <f aca="false">IMSUM(IMPRODUCT(M702,P701),IMPRODUCT(N702,R701))</f>
        <v>0.930694368711695+1.39329250135984i</v>
      </c>
      <c r="S702" s="10" t="n">
        <f aca="false">IF(B702="mass",D702/E702,H702)</f>
        <v>0.0434782608695652</v>
      </c>
      <c r="T702" s="12" t="n">
        <f aca="false">IF(B702="mass",F702*G702*D702,0)</f>
        <v>100000</v>
      </c>
    </row>
    <row r="703" customFormat="false" ht="15" hidden="false" customHeight="false" outlineLevel="0" collapsed="false">
      <c r="A703" s="7" t="s">
        <v>44</v>
      </c>
      <c r="B703" s="7" t="str">
        <f aca="false">IF(C703="","none",IF(C703="Cavity","res","mass"))</f>
        <v>mass</v>
      </c>
      <c r="C703" s="7" t="str">
        <f aca="false">IF(INDEX(Library!$I$5:$I$34,$U$699)="","",INDEX(Library!$I$5:$I$34,$U$699))</f>
        <v>CLT</v>
      </c>
      <c r="D703" s="11" t="n">
        <f aca="false">IF(B703="mass",INDEX(Library!$J$5:$J$34,$U$699)/1000,0)</f>
        <v>0.16</v>
      </c>
      <c r="E703" s="7" t="n">
        <f aca="false">IF(B703="mass",INDEX(Materials!$B$5:$B$28,MATCH(C703,Materials!$A$5:$A$28,0)),0)</f>
        <v>0.13</v>
      </c>
      <c r="F703" s="7" t="n">
        <f aca="false">IF(B703="mass",INDEX(Materials!$C$5:$C$28,MATCH(C703,Materials!$A$5:$A$28,0)),0)</f>
        <v>470</v>
      </c>
      <c r="G703" s="7" t="n">
        <f aca="false">IF(B703="mass",INDEX(Materials!$D$5:$D$28,MATCH(C703,Materials!$A$5:$A$28,0)),0)</f>
        <v>1600</v>
      </c>
      <c r="H703" s="10" t="n">
        <f aca="false">IF(B703="res",INDEX(Library!$J$5:$J$34,$U$699),0)</f>
        <v>0</v>
      </c>
      <c r="I703" s="11" t="n">
        <f aca="false">IF(B703="mass",SQRT(E703*($B$2*3600)/(PI()*F703*G703)),0)</f>
        <v>0.0689516543706332</v>
      </c>
      <c r="J703" s="10" t="n">
        <f aca="false">IF(B703="mass",D703/I703,0)</f>
        <v>2.32046644073191</v>
      </c>
      <c r="K703" s="7" t="str">
        <f aca="false">IF(B703="mass",COMPLEX(COSH(J703)*COS(J703),SINH(J703)*SIN(J703)),COMPLEX(1,0))</f>
        <v>-3.50192226688144+3.68964791963587i</v>
      </c>
      <c r="L703" s="7" t="str">
        <f aca="false">IF(B703="mass",COMPLEX(-I703/(2*E703)*(SINH(J703)*COS(J703)+COSH(J703)*SIN(J703)),-I703/(2*E703)*(COSH(J703)*SIN(J703)-SINH(J703)*COS(J703))),COMPLEX(-H703,0))</f>
        <v>-0.0866011634508734-1.90851079760489i</v>
      </c>
      <c r="M703" s="7" t="str">
        <f aca="false">IF(B703="mass",COMPLEX(-E703/I703*(SINH(J703)*COS(J703)-COSH(J703)*SIN(J703)),-E703/I703*(SINH(J703)*COS(J703)+COSH(J703)*SIN(J703))),COMPLEX(0,0))</f>
        <v>13.5681907375665-0.615674328524227i</v>
      </c>
      <c r="N703" s="7" t="str">
        <f aca="false">K703</f>
        <v>-3.50192226688144+3.68964791963587i</v>
      </c>
      <c r="O703" s="7" t="str">
        <f aca="false">IMSUM(IMPRODUCT(K703,O702),IMPRODUCT(L703,Q702))</f>
        <v>-17.9711793051362+3.01876545028983i</v>
      </c>
      <c r="P703" s="7" t="str">
        <f aca="false">IMSUM(IMPRODUCT(K703,P702),IMPRODUCT(L703,R702))</f>
        <v>3.43107871517235-2.57970188232437i</v>
      </c>
      <c r="Q703" s="7" t="str">
        <f aca="false">IMSUM(IMPRODUCT(M703,O702),IMPRODUCT(N703,Q702))</f>
        <v>39.0766434983653+28.3905856863959i</v>
      </c>
      <c r="R703" s="7" t="str">
        <f aca="false">IMSUM(IMPRODUCT(M703,P702),IMPRODUCT(N703,R702))</f>
        <v>-11.3043453685963-1.70992733349994i</v>
      </c>
      <c r="S703" s="10" t="n">
        <f aca="false">IF(B703="mass",D703/E703,H703)</f>
        <v>1.23076923076923</v>
      </c>
      <c r="T703" s="12" t="n">
        <f aca="false">IF(B703="mass",F703*G703*D703,0)</f>
        <v>120320</v>
      </c>
    </row>
    <row r="704" customFormat="false" ht="15" hidden="false" customHeight="false" outlineLevel="0" collapsed="false">
      <c r="A704" s="7" t="s">
        <v>45</v>
      </c>
      <c r="B704" s="7" t="str">
        <f aca="false">IF(C704="","none",IF(C704="Cavity","res","mass"))</f>
        <v>none</v>
      </c>
      <c r="C704" s="7" t="str">
        <f aca="false">IF(INDEX(Library!$K$5:$K$34,$U$699)="","",INDEX(Library!$K$5:$K$34,$U$699))</f>
        <v/>
      </c>
      <c r="D704" s="11" t="n">
        <f aca="false">IF(B704="mass",INDEX(Library!$L$5:$L$34,$U$699)/1000,0)</f>
        <v>0</v>
      </c>
      <c r="E704" s="7" t="n">
        <f aca="false">IF(B704="mass",INDEX(Materials!$B$5:$B$28,MATCH(C704,Materials!$A$5:$A$28,0)),0)</f>
        <v>0</v>
      </c>
      <c r="F704" s="7" t="n">
        <f aca="false">IF(B704="mass",INDEX(Materials!$C$5:$C$28,MATCH(C704,Materials!$A$5:$A$28,0)),0)</f>
        <v>0</v>
      </c>
      <c r="G704" s="7" t="n">
        <f aca="false">IF(B704="mass",INDEX(Materials!$D$5:$D$28,MATCH(C704,Materials!$A$5:$A$28,0)),0)</f>
        <v>0</v>
      </c>
      <c r="H704" s="10" t="n">
        <f aca="false">IF(B704="res",INDEX(Library!$L$5:$L$34,$U$699),0)</f>
        <v>0</v>
      </c>
      <c r="I704" s="11" t="n">
        <f aca="false">IF(B704="mass",SQRT(E704*($B$2*3600)/(PI()*F704*G704)),0)</f>
        <v>0</v>
      </c>
      <c r="J704" s="10" t="n">
        <f aca="false">IF(B704="mass",D704/I704,0)</f>
        <v>0</v>
      </c>
      <c r="K704" s="7" t="str">
        <f aca="false">IF(B704="mass",COMPLEX(COSH(J704)*COS(J704),SINH(J704)*SIN(J704)),COMPLEX(1,0))</f>
        <v>1</v>
      </c>
      <c r="L704" s="7" t="str">
        <f aca="false">IF(B704="mass",COMPLEX(-I704/(2*E704)*(SINH(J704)*COS(J704)+COSH(J704)*SIN(J704)),-I704/(2*E704)*(COSH(J704)*SIN(J704)-SINH(J704)*COS(J704))),COMPLEX(-H704,0))</f>
        <v>-0</v>
      </c>
      <c r="M704" s="7" t="str">
        <f aca="false">IF(B704="mass",COMPLEX(-E704/I704*(SINH(J704)*COS(J704)-COSH(J704)*SIN(J704)),-E704/I704*(SINH(J704)*COS(J704)+COSH(J704)*SIN(J704))),COMPLEX(0,0))</f>
        <v>0</v>
      </c>
      <c r="N704" s="7" t="str">
        <f aca="false">K704</f>
        <v>1</v>
      </c>
      <c r="O704" s="7" t="str">
        <f aca="false">IMSUM(IMPRODUCT(K704,O703),IMPRODUCT(L704,Q703))</f>
        <v>-17.9711793051362+3.01876545028983i</v>
      </c>
      <c r="P704" s="7" t="str">
        <f aca="false">IMSUM(IMPRODUCT(K704,P703),IMPRODUCT(L704,R703))</f>
        <v>3.43107871517235-2.57970188232437i</v>
      </c>
      <c r="Q704" s="7" t="str">
        <f aca="false">IMSUM(IMPRODUCT(M704,O703),IMPRODUCT(N704,Q703))</f>
        <v>39.0766434983653+28.3905856863959i</v>
      </c>
      <c r="R704" s="7" t="str">
        <f aca="false">IMSUM(IMPRODUCT(M704,P703),IMPRODUCT(N704,R703))</f>
        <v>-11.3043453685963-1.70992733349994i</v>
      </c>
      <c r="S704" s="10" t="n">
        <f aca="false">IF(B704="mass",D704/E704,H704)</f>
        <v>0</v>
      </c>
      <c r="T704" s="12" t="n">
        <f aca="false">IF(B704="mass",F704*G704*D704,0)</f>
        <v>0</v>
      </c>
    </row>
    <row r="705" customFormat="false" ht="15" hidden="false" customHeight="false" outlineLevel="0" collapsed="false">
      <c r="A705" s="7" t="s">
        <v>46</v>
      </c>
      <c r="B705" s="7" t="str">
        <f aca="false">IF(C705="","none",IF(C705="Cavity","res","mass"))</f>
        <v>none</v>
      </c>
      <c r="C705" s="7" t="str">
        <f aca="false">IF(INDEX(Library!$M$5:$M$34,$U$699)="","",INDEX(Library!$M$5:$M$34,$U$699))</f>
        <v/>
      </c>
      <c r="D705" s="11" t="n">
        <f aca="false">IF(B705="mass",INDEX(Library!$N$5:$N$34,$U$699)/1000,0)</f>
        <v>0</v>
      </c>
      <c r="E705" s="7" t="n">
        <f aca="false">IF(B705="mass",INDEX(Materials!$B$5:$B$28,MATCH(C705,Materials!$A$5:$A$28,0)),0)</f>
        <v>0</v>
      </c>
      <c r="F705" s="7" t="n">
        <f aca="false">IF(B705="mass",INDEX(Materials!$C$5:$C$28,MATCH(C705,Materials!$A$5:$A$28,0)),0)</f>
        <v>0</v>
      </c>
      <c r="G705" s="7" t="n">
        <f aca="false">IF(B705="mass",INDEX(Materials!$D$5:$D$28,MATCH(C705,Materials!$A$5:$A$28,0)),0)</f>
        <v>0</v>
      </c>
      <c r="H705" s="10" t="n">
        <f aca="false">IF(B705="res",INDEX(Library!$N$5:$N$34,$U$699),0)</f>
        <v>0</v>
      </c>
      <c r="I705" s="11" t="n">
        <f aca="false">IF(B705="mass",SQRT(E705*($B$2*3600)/(PI()*F705*G705)),0)</f>
        <v>0</v>
      </c>
      <c r="J705" s="10" t="n">
        <f aca="false">IF(B705="mass",D705/I705,0)</f>
        <v>0</v>
      </c>
      <c r="K705" s="7" t="str">
        <f aca="false">IF(B705="mass",COMPLEX(COSH(J705)*COS(J705),SINH(J705)*SIN(J705)),COMPLEX(1,0))</f>
        <v>1</v>
      </c>
      <c r="L705" s="7" t="str">
        <f aca="false">IF(B705="mass",COMPLEX(-I705/(2*E705)*(SINH(J705)*COS(J705)+COSH(J705)*SIN(J705)),-I705/(2*E705)*(COSH(J705)*SIN(J705)-SINH(J705)*COS(J705))),COMPLEX(-H705,0))</f>
        <v>-0</v>
      </c>
      <c r="M705" s="7" t="str">
        <f aca="false">IF(B705="mass",COMPLEX(-E705/I705*(SINH(J705)*COS(J705)-COSH(J705)*SIN(J705)),-E705/I705*(SINH(J705)*COS(J705)+COSH(J705)*SIN(J705))),COMPLEX(0,0))</f>
        <v>0</v>
      </c>
      <c r="N705" s="7" t="str">
        <f aca="false">K705</f>
        <v>1</v>
      </c>
      <c r="O705" s="7" t="str">
        <f aca="false">IMSUM(IMPRODUCT(K705,O704),IMPRODUCT(L705,Q704))</f>
        <v>-17.9711793051362+3.01876545028983i</v>
      </c>
      <c r="P705" s="7" t="str">
        <f aca="false">IMSUM(IMPRODUCT(K705,P704),IMPRODUCT(L705,R704))</f>
        <v>3.43107871517235-2.57970188232437i</v>
      </c>
      <c r="Q705" s="7" t="str">
        <f aca="false">IMSUM(IMPRODUCT(M705,O704),IMPRODUCT(N705,Q704))</f>
        <v>39.0766434983653+28.3905856863959i</v>
      </c>
      <c r="R705" s="7" t="str">
        <f aca="false">IMSUM(IMPRODUCT(M705,P704),IMPRODUCT(N705,R704))</f>
        <v>-11.3043453685963-1.70992733349994i</v>
      </c>
      <c r="S705" s="10" t="n">
        <f aca="false">IF(B705="mass",D705/E705,H705)</f>
        <v>0</v>
      </c>
      <c r="T705" s="12" t="n">
        <f aca="false">IF(B705="mass",F705*G705*D705,0)</f>
        <v>0</v>
      </c>
    </row>
    <row r="706" customFormat="false" ht="15" hidden="false" customHeight="false" outlineLevel="0" collapsed="false">
      <c r="A706" s="7" t="s">
        <v>47</v>
      </c>
      <c r="B706" s="7" t="str">
        <f aca="false">IF(C706="","none",IF(C706="Cavity","res","mass"))</f>
        <v>none</v>
      </c>
      <c r="C706" s="7" t="str">
        <f aca="false">IF(INDEX(Library!$O$5:$O$34,$U$699)="","",INDEX(Library!$O$5:$O$34,$U$699))</f>
        <v/>
      </c>
      <c r="D706" s="11" t="n">
        <f aca="false">IF(B706="mass",INDEX(Library!$P$5:$P$34,$U$699)/1000,0)</f>
        <v>0</v>
      </c>
      <c r="E706" s="7" t="n">
        <f aca="false">IF(B706="mass",INDEX(Materials!$B$5:$B$28,MATCH(C706,Materials!$A$5:$A$28,0)),0)</f>
        <v>0</v>
      </c>
      <c r="F706" s="7" t="n">
        <f aca="false">IF(B706="mass",INDEX(Materials!$C$5:$C$28,MATCH(C706,Materials!$A$5:$A$28,0)),0)</f>
        <v>0</v>
      </c>
      <c r="G706" s="7" t="n">
        <f aca="false">IF(B706="mass",INDEX(Materials!$D$5:$D$28,MATCH(C706,Materials!$A$5:$A$28,0)),0)</f>
        <v>0</v>
      </c>
      <c r="H706" s="10" t="n">
        <f aca="false">IF(B706="res",INDEX(Library!$P$5:$P$34,$U$699),0)</f>
        <v>0</v>
      </c>
      <c r="I706" s="11" t="n">
        <f aca="false">IF(B706="mass",SQRT(E706*($B$2*3600)/(PI()*F706*G706)),0)</f>
        <v>0</v>
      </c>
      <c r="J706" s="10" t="n">
        <f aca="false">IF(B706="mass",D706/I706,0)</f>
        <v>0</v>
      </c>
      <c r="K706" s="7" t="str">
        <f aca="false">IF(B706="mass",COMPLEX(COSH(J706)*COS(J706),SINH(J706)*SIN(J706)),COMPLEX(1,0))</f>
        <v>1</v>
      </c>
      <c r="L706" s="7" t="str">
        <f aca="false">IF(B706="mass",COMPLEX(-I706/(2*E706)*(SINH(J706)*COS(J706)+COSH(J706)*SIN(J706)),-I706/(2*E706)*(COSH(J706)*SIN(J706)-SINH(J706)*COS(J706))),COMPLEX(-H706,0))</f>
        <v>-0</v>
      </c>
      <c r="M706" s="7" t="str">
        <f aca="false">IF(B706="mass",COMPLEX(-E706/I706*(SINH(J706)*COS(J706)-COSH(J706)*SIN(J706)),-E706/I706*(SINH(J706)*COS(J706)+COSH(J706)*SIN(J706))),COMPLEX(0,0))</f>
        <v>0</v>
      </c>
      <c r="N706" s="7" t="str">
        <f aca="false">K706</f>
        <v>1</v>
      </c>
      <c r="O706" s="7" t="str">
        <f aca="false">IMSUM(IMPRODUCT(K706,O705),IMPRODUCT(L706,Q705))</f>
        <v>-17.9711793051362+3.01876545028983i</v>
      </c>
      <c r="P706" s="7" t="str">
        <f aca="false">IMSUM(IMPRODUCT(K706,P705),IMPRODUCT(L706,R705))</f>
        <v>3.43107871517235-2.57970188232437i</v>
      </c>
      <c r="Q706" s="7" t="str">
        <f aca="false">IMSUM(IMPRODUCT(M706,O705),IMPRODUCT(N706,Q705))</f>
        <v>39.0766434983653+28.3905856863959i</v>
      </c>
      <c r="R706" s="7" t="str">
        <f aca="false">IMSUM(IMPRODUCT(M706,P705),IMPRODUCT(N706,R705))</f>
        <v>-11.3043453685963-1.70992733349994i</v>
      </c>
      <c r="S706" s="10" t="n">
        <f aca="false">IF(B706="mass",D706/E706,H706)</f>
        <v>0</v>
      </c>
      <c r="T706" s="12" t="n">
        <f aca="false">IF(B706="mass",F706*G706*D706,0)</f>
        <v>0</v>
      </c>
    </row>
    <row r="707" customFormat="false" ht="15" hidden="false" customHeight="false" outlineLevel="0" collapsed="false">
      <c r="A707" s="7" t="s">
        <v>48</v>
      </c>
      <c r="B707" s="7" t="str">
        <f aca="false">IF(C707="","none",IF(C707="Cavity","res","mass"))</f>
        <v>none</v>
      </c>
      <c r="C707" s="7" t="str">
        <f aca="false">IF(INDEX(Library!$Q$5:$Q$34,$U$699)="","",INDEX(Library!$Q$5:$Q$34,$U$699))</f>
        <v/>
      </c>
      <c r="D707" s="11" t="n">
        <f aca="false">IF(B707="mass",INDEX(Library!$R$5:$R$34,$U$699)/1000,0)</f>
        <v>0</v>
      </c>
      <c r="E707" s="7" t="n">
        <f aca="false">IF(B707="mass",INDEX(Materials!$B$5:$B$28,MATCH(C707,Materials!$A$5:$A$28,0)),0)</f>
        <v>0</v>
      </c>
      <c r="F707" s="7" t="n">
        <f aca="false">IF(B707="mass",INDEX(Materials!$C$5:$C$28,MATCH(C707,Materials!$A$5:$A$28,0)),0)</f>
        <v>0</v>
      </c>
      <c r="G707" s="7" t="n">
        <f aca="false">IF(B707="mass",INDEX(Materials!$D$5:$D$28,MATCH(C707,Materials!$A$5:$A$28,0)),0)</f>
        <v>0</v>
      </c>
      <c r="H707" s="10" t="n">
        <f aca="false">IF(B707="res",INDEX(Library!$R$5:$R$34,$U$699),0)</f>
        <v>0</v>
      </c>
      <c r="I707" s="11" t="n">
        <f aca="false">IF(B707="mass",SQRT(E707*($B$2*3600)/(PI()*F707*G707)),0)</f>
        <v>0</v>
      </c>
      <c r="J707" s="10" t="n">
        <f aca="false">IF(B707="mass",D707/I707,0)</f>
        <v>0</v>
      </c>
      <c r="K707" s="7" t="str">
        <f aca="false">IF(B707="mass",COMPLEX(COSH(J707)*COS(J707),SINH(J707)*SIN(J707)),COMPLEX(1,0))</f>
        <v>1</v>
      </c>
      <c r="L707" s="7" t="str">
        <f aca="false">IF(B707="mass",COMPLEX(-I707/(2*E707)*(SINH(J707)*COS(J707)+COSH(J707)*SIN(J707)),-I707/(2*E707)*(COSH(J707)*SIN(J707)-SINH(J707)*COS(J707))),COMPLEX(-H707,0))</f>
        <v>-0</v>
      </c>
      <c r="M707" s="7" t="str">
        <f aca="false">IF(B707="mass",COMPLEX(-E707/I707*(SINH(J707)*COS(J707)-COSH(J707)*SIN(J707)),-E707/I707*(SINH(J707)*COS(J707)+COSH(J707)*SIN(J707))),COMPLEX(0,0))</f>
        <v>0</v>
      </c>
      <c r="N707" s="7" t="str">
        <f aca="false">K707</f>
        <v>1</v>
      </c>
      <c r="O707" s="7" t="str">
        <f aca="false">IMSUM(IMPRODUCT(K707,O706),IMPRODUCT(L707,Q706))</f>
        <v>-17.9711793051362+3.01876545028983i</v>
      </c>
      <c r="P707" s="7" t="str">
        <f aca="false">IMSUM(IMPRODUCT(K707,P706),IMPRODUCT(L707,R706))</f>
        <v>3.43107871517235-2.57970188232437i</v>
      </c>
      <c r="Q707" s="7" t="str">
        <f aca="false">IMSUM(IMPRODUCT(M707,O706),IMPRODUCT(N707,Q706))</f>
        <v>39.0766434983653+28.3905856863959i</v>
      </c>
      <c r="R707" s="7" t="str">
        <f aca="false">IMSUM(IMPRODUCT(M707,P706),IMPRODUCT(N707,R706))</f>
        <v>-11.3043453685963-1.70992733349994i</v>
      </c>
      <c r="S707" s="10" t="n">
        <f aca="false">IF(B707="mass",D707/E707,H707)</f>
        <v>0</v>
      </c>
      <c r="T707" s="12" t="n">
        <f aca="false">IF(B707="mass",F707*G707*D707,0)</f>
        <v>0</v>
      </c>
    </row>
    <row r="708" customFormat="false" ht="15" hidden="false" customHeight="false" outlineLevel="0" collapsed="false">
      <c r="A708" s="7" t="s">
        <v>49</v>
      </c>
      <c r="B708" s="7" t="str">
        <f aca="false">IF(C708="","none",IF(C708="Cavity","res","mass"))</f>
        <v>none</v>
      </c>
      <c r="C708" s="7" t="str">
        <f aca="false">IF(INDEX(Library!$S$5:$S$34,$U$699)="","",INDEX(Library!$S$5:$S$34,$U$699))</f>
        <v/>
      </c>
      <c r="D708" s="11" t="n">
        <f aca="false">IF(B708="mass",INDEX(Library!$T$5:$T$34,$U$699)/1000,0)</f>
        <v>0</v>
      </c>
      <c r="E708" s="7" t="n">
        <f aca="false">IF(B708="mass",INDEX(Materials!$B$5:$B$28,MATCH(C708,Materials!$A$5:$A$28,0)),0)</f>
        <v>0</v>
      </c>
      <c r="F708" s="7" t="n">
        <f aca="false">IF(B708="mass",INDEX(Materials!$C$5:$C$28,MATCH(C708,Materials!$A$5:$A$28,0)),0)</f>
        <v>0</v>
      </c>
      <c r="G708" s="7" t="n">
        <f aca="false">IF(B708="mass",INDEX(Materials!$D$5:$D$28,MATCH(C708,Materials!$A$5:$A$28,0)),0)</f>
        <v>0</v>
      </c>
      <c r="H708" s="10" t="n">
        <f aca="false">IF(B708="res",INDEX(Library!$T$5:$T$34,$U$699),0)</f>
        <v>0</v>
      </c>
      <c r="I708" s="11" t="n">
        <f aca="false">IF(B708="mass",SQRT(E708*($B$2*3600)/(PI()*F708*G708)),0)</f>
        <v>0</v>
      </c>
      <c r="J708" s="10" t="n">
        <f aca="false">IF(B708="mass",D708/I708,0)</f>
        <v>0</v>
      </c>
      <c r="K708" s="7" t="str">
        <f aca="false">IF(B708="mass",COMPLEX(COSH(J708)*COS(J708),SINH(J708)*SIN(J708)),COMPLEX(1,0))</f>
        <v>1</v>
      </c>
      <c r="L708" s="7" t="str">
        <f aca="false">IF(B708="mass",COMPLEX(-I708/(2*E708)*(SINH(J708)*COS(J708)+COSH(J708)*SIN(J708)),-I708/(2*E708)*(COSH(J708)*SIN(J708)-SINH(J708)*COS(J708))),COMPLEX(-H708,0))</f>
        <v>-0</v>
      </c>
      <c r="M708" s="7" t="str">
        <f aca="false">IF(B708="mass",COMPLEX(-E708/I708*(SINH(J708)*COS(J708)-COSH(J708)*SIN(J708)),-E708/I708*(SINH(J708)*COS(J708)+COSH(J708)*SIN(J708))),COMPLEX(0,0))</f>
        <v>0</v>
      </c>
      <c r="N708" s="7" t="str">
        <f aca="false">K708</f>
        <v>1</v>
      </c>
      <c r="O708" s="7" t="str">
        <f aca="false">IMSUM(IMPRODUCT(K708,O707),IMPRODUCT(L708,Q707))</f>
        <v>-17.9711793051362+3.01876545028983i</v>
      </c>
      <c r="P708" s="7" t="str">
        <f aca="false">IMSUM(IMPRODUCT(K708,P707),IMPRODUCT(L708,R707))</f>
        <v>3.43107871517235-2.57970188232437i</v>
      </c>
      <c r="Q708" s="7" t="str">
        <f aca="false">IMSUM(IMPRODUCT(M708,O707),IMPRODUCT(N708,Q707))</f>
        <v>39.0766434983653+28.3905856863959i</v>
      </c>
      <c r="R708" s="7" t="str">
        <f aca="false">IMSUM(IMPRODUCT(M708,P707),IMPRODUCT(N708,R707))</f>
        <v>-11.3043453685963-1.70992733349994i</v>
      </c>
      <c r="S708" s="10" t="n">
        <f aca="false">IF(B708="mass",D708/E708,H708)</f>
        <v>0</v>
      </c>
      <c r="T708" s="12" t="n">
        <f aca="false">IF(B708="mass",F708*G708*D708,0)</f>
        <v>0</v>
      </c>
    </row>
    <row r="709" customFormat="false" ht="15" hidden="false" customHeight="false" outlineLevel="0" collapsed="false">
      <c r="A709" s="7" t="s">
        <v>50</v>
      </c>
      <c r="B709" s="7" t="str">
        <f aca="false">IF(C709="","none",IF(C709="Cavity","res","mass"))</f>
        <v>none</v>
      </c>
      <c r="C709" s="7" t="str">
        <f aca="false">IF(INDEX(Library!$U$5:$U$34,$U$699)="","",INDEX(Library!$U$5:$U$34,$U$699))</f>
        <v/>
      </c>
      <c r="D709" s="11" t="n">
        <f aca="false">IF(B709="mass",INDEX(Library!$V$5:$V$34,$U$699)/1000,0)</f>
        <v>0</v>
      </c>
      <c r="E709" s="7" t="n">
        <f aca="false">IF(B709="mass",INDEX(Materials!$B$5:$B$28,MATCH(C709,Materials!$A$5:$A$28,0)),0)</f>
        <v>0</v>
      </c>
      <c r="F709" s="7" t="n">
        <f aca="false">IF(B709="mass",INDEX(Materials!$C$5:$C$28,MATCH(C709,Materials!$A$5:$A$28,0)),0)</f>
        <v>0</v>
      </c>
      <c r="G709" s="7" t="n">
        <f aca="false">IF(B709="mass",INDEX(Materials!$D$5:$D$28,MATCH(C709,Materials!$A$5:$A$28,0)),0)</f>
        <v>0</v>
      </c>
      <c r="H709" s="10" t="n">
        <f aca="false">IF(B709="res",INDEX(Library!$V$5:$V$34,$U$699),0)</f>
        <v>0</v>
      </c>
      <c r="I709" s="11" t="n">
        <f aca="false">IF(B709="mass",SQRT(E709*($B$2*3600)/(PI()*F709*G709)),0)</f>
        <v>0</v>
      </c>
      <c r="J709" s="10" t="n">
        <f aca="false">IF(B709="mass",D709/I709,0)</f>
        <v>0</v>
      </c>
      <c r="K709" s="7" t="str">
        <f aca="false">IF(B709="mass",COMPLEX(COSH(J709)*COS(J709),SINH(J709)*SIN(J709)),COMPLEX(1,0))</f>
        <v>1</v>
      </c>
      <c r="L709" s="7" t="str">
        <f aca="false">IF(B709="mass",COMPLEX(-I709/(2*E709)*(SINH(J709)*COS(J709)+COSH(J709)*SIN(J709)),-I709/(2*E709)*(COSH(J709)*SIN(J709)-SINH(J709)*COS(J709))),COMPLEX(-H709,0))</f>
        <v>-0</v>
      </c>
      <c r="M709" s="7" t="str">
        <f aca="false">IF(B709="mass",COMPLEX(-E709/I709*(SINH(J709)*COS(J709)-COSH(J709)*SIN(J709)),-E709/I709*(SINH(J709)*COS(J709)+COSH(J709)*SIN(J709))),COMPLEX(0,0))</f>
        <v>0</v>
      </c>
      <c r="N709" s="7" t="str">
        <f aca="false">K709</f>
        <v>1</v>
      </c>
      <c r="O709" s="7" t="str">
        <f aca="false">IMSUM(IMPRODUCT(K709,O708),IMPRODUCT(L709,Q708))</f>
        <v>-17.9711793051362+3.01876545028983i</v>
      </c>
      <c r="P709" s="7" t="str">
        <f aca="false">IMSUM(IMPRODUCT(K709,P708),IMPRODUCT(L709,R708))</f>
        <v>3.43107871517235-2.57970188232437i</v>
      </c>
      <c r="Q709" s="7" t="str">
        <f aca="false">IMSUM(IMPRODUCT(M709,O708),IMPRODUCT(N709,Q708))</f>
        <v>39.0766434983653+28.3905856863959i</v>
      </c>
      <c r="R709" s="7" t="str">
        <f aca="false">IMSUM(IMPRODUCT(M709,P708),IMPRODUCT(N709,R708))</f>
        <v>-11.3043453685963-1.70992733349994i</v>
      </c>
      <c r="S709" s="10" t="n">
        <f aca="false">IF(B709="mass",D709/E709,H709)</f>
        <v>0</v>
      </c>
      <c r="T709" s="12" t="n">
        <f aca="false">IF(B709="mass",F709*G709*D709,0)</f>
        <v>0</v>
      </c>
    </row>
    <row r="710" customFormat="false" ht="15" hidden="false" customHeight="false" outlineLevel="0" collapsed="false">
      <c r="A710" s="7" t="s">
        <v>51</v>
      </c>
      <c r="B710" s="7" t="str">
        <f aca="false">IF($W$699="ground","mass",IF($W$699="adiabatic","res","none"))</f>
        <v>none</v>
      </c>
      <c r="C710" s="7" t="str">
        <f aca="false">IF($W$699="ground","clay soil","")</f>
        <v/>
      </c>
      <c r="D710" s="11" t="n">
        <f aca="false">IF(B710="mass",1,0)</f>
        <v>0</v>
      </c>
      <c r="E710" s="7" t="n">
        <f aca="false">IF(B710="mass",INDEX(Materials!$B$5:$B$28,MATCH(C710,Materials!$A$5:$A$28,0)),0)</f>
        <v>0</v>
      </c>
      <c r="F710" s="7" t="n">
        <f aca="false">IF(B710="mass",INDEX(Materials!$C$5:$C$28,MATCH(C710,Materials!$A$5:$A$28,0)),0)</f>
        <v>0</v>
      </c>
      <c r="G710" s="7" t="n">
        <f aca="false">IF(B710="mass",INDEX(Materials!$D$5:$D$28,MATCH(C710,Materials!$A$5:$A$28,0)),0)</f>
        <v>0</v>
      </c>
      <c r="H710" s="12" t="n">
        <f aca="false">IF(B710="res",1000000,0)</f>
        <v>0</v>
      </c>
      <c r="I710" s="11" t="n">
        <f aca="false">IF(B710="mass",SQRT(E710*($B$2*3600)/(PI()*F710*G710)),0)</f>
        <v>0</v>
      </c>
      <c r="J710" s="10" t="n">
        <f aca="false">IF(B710="mass",D710/I710,0)</f>
        <v>0</v>
      </c>
      <c r="K710" s="7" t="str">
        <f aca="false">IF(B710="mass",COMPLEX(COSH(J710)*COS(J710),SINH(J710)*SIN(J710)),COMPLEX(1,0))</f>
        <v>1</v>
      </c>
      <c r="L710" s="7" t="str">
        <f aca="false">IF(B710="mass",COMPLEX(-I710/(2*E710)*(SINH(J710)*COS(J710)+COSH(J710)*SIN(J710)),-I710/(2*E710)*(COSH(J710)*SIN(J710)-SINH(J710)*COS(J710))),COMPLEX(-H710,0))</f>
        <v>-0</v>
      </c>
      <c r="M710" s="7" t="str">
        <f aca="false">IF(B710="mass",COMPLEX(-E710/I710*(SINH(J710)*COS(J710)-COSH(J710)*SIN(J710)),-E710/I710*(SINH(J710)*COS(J710)+COSH(J710)*SIN(J710))),COMPLEX(0,0))</f>
        <v>0</v>
      </c>
      <c r="N710" s="7" t="str">
        <f aca="false">K710</f>
        <v>1</v>
      </c>
      <c r="O710" s="7" t="str">
        <f aca="false">IMSUM(IMPRODUCT(K710,O709),IMPRODUCT(L710,Q709))</f>
        <v>-17.9711793051362+3.01876545028983i</v>
      </c>
      <c r="P710" s="7" t="str">
        <f aca="false">IMSUM(IMPRODUCT(K710,P709),IMPRODUCT(L710,R709))</f>
        <v>3.43107871517235-2.57970188232437i</v>
      </c>
      <c r="Q710" s="7" t="str">
        <f aca="false">IMSUM(IMPRODUCT(M710,O709),IMPRODUCT(N710,Q709))</f>
        <v>39.0766434983653+28.3905856863959i</v>
      </c>
      <c r="R710" s="7" t="str">
        <f aca="false">IMSUM(IMPRODUCT(M710,P709),IMPRODUCT(N710,R709))</f>
        <v>-11.3043453685963-1.70992733349994i</v>
      </c>
      <c r="S710" s="10" t="n">
        <f aca="false">IF(B710="mass",D710/E710,H710)</f>
        <v>0</v>
      </c>
      <c r="T710" s="12" t="n">
        <f aca="false">IF(B710="mass",F710*G710*D710,0)</f>
        <v>0</v>
      </c>
    </row>
    <row r="711" customFormat="false" ht="15" hidden="false" customHeight="false" outlineLevel="0" collapsed="false">
      <c r="A711" s="7" t="s">
        <v>52</v>
      </c>
      <c r="B711" s="7" t="s">
        <v>42</v>
      </c>
      <c r="H711" s="10" t="n">
        <f aca="false">IF($W$699="ext",0.04,IF($W$699="room",$Y$699,0))</f>
        <v>0.17</v>
      </c>
      <c r="I711" s="11" t="n">
        <f aca="false">IF(B711="mass",SQRT(E711*($B$2*3600)/(PI()*F711*G711)),0)</f>
        <v>0</v>
      </c>
      <c r="J711" s="10" t="n">
        <f aca="false">IF(B711="mass",D711/I711,0)</f>
        <v>0</v>
      </c>
      <c r="K711" s="7" t="str">
        <f aca="false">IF(B711="mass",COMPLEX(COSH(J711)*COS(J711),SINH(J711)*SIN(J711)),COMPLEX(1,0))</f>
        <v>1</v>
      </c>
      <c r="L711" s="7" t="str">
        <f aca="false">IF(B711="mass",COMPLEX(-I711/(2*E711)*(SINH(J711)*COS(J711)+COSH(J711)*SIN(J711)),-I711/(2*E711)*(COSH(J711)*SIN(J711)-SINH(J711)*COS(J711))),COMPLEX(-H711,0))</f>
        <v>-0.17</v>
      </c>
      <c r="M711" s="7" t="str">
        <f aca="false">IF(B711="mass",COMPLEX(-E711/I711*(SINH(J711)*COS(J711)-COSH(J711)*SIN(J711)),-E711/I711*(SINH(J711)*COS(J711)+COSH(J711)*SIN(J711))),COMPLEX(0,0))</f>
        <v>0</v>
      </c>
      <c r="N711" s="7" t="str">
        <f aca="false">K711</f>
        <v>1</v>
      </c>
      <c r="O711" s="7" t="str">
        <f aca="false">IMSUM(IMPRODUCT(K711,O710),IMPRODUCT(L711,Q710))</f>
        <v>-24.6142086998583-1.80763411639747i</v>
      </c>
      <c r="P711" s="7" t="str">
        <f aca="false">IMSUM(IMPRODUCT(K711,P710),IMPRODUCT(L711,R710))</f>
        <v>5.35281742783372-2.28901423562938i</v>
      </c>
      <c r="Q711" s="7" t="str">
        <f aca="false">IMSUM(IMPRODUCT(M711,O710),IMPRODUCT(N711,Q710))</f>
        <v>39.0766434983653+28.3905856863959i</v>
      </c>
      <c r="R711" s="7" t="str">
        <f aca="false">IMSUM(IMPRODUCT(M711,P710),IMPRODUCT(N711,R710))</f>
        <v>-11.3043453685963-1.70992733349994i</v>
      </c>
      <c r="S711" s="10" t="n">
        <f aca="false">IF(B711="mass",D711/E711,H711)</f>
        <v>0.17</v>
      </c>
      <c r="T711" s="12" t="n">
        <f aca="false">IF(B711="mass",F711*G711*D711,0)</f>
        <v>0</v>
      </c>
    </row>
    <row r="712" customFormat="false" ht="15" hidden="false" customHeight="false" outlineLevel="0" collapsed="false">
      <c r="A712" s="9" t="s">
        <v>53</v>
      </c>
      <c r="B712" s="13" t="str">
        <f aca="false">IF(OR($W$699="ext",$W$699="ground"),1/SUM(S701:S711),"–")</f>
        <v>–</v>
      </c>
      <c r="C712" s="9" t="s">
        <v>54</v>
      </c>
      <c r="D712" s="13" t="n">
        <f aca="false">IMABS(IMDIV(IMPRODUCT(O711,COMPLEX(-1,0)),P711))</f>
        <v>4.23939338183002</v>
      </c>
      <c r="E712" s="9" t="s">
        <v>55</v>
      </c>
      <c r="F712" s="14" t="n">
        <f aca="false">IMARGUMENT(IMDIV(IMPRODUCT(O711,COMPLEX(-1,0)),P711))*$B$2/(2*PI())</f>
        <v>1.82353927655929</v>
      </c>
      <c r="G712" s="9" t="s">
        <v>56</v>
      </c>
      <c r="H712" s="13" t="str">
        <f aca="false">IF($W$699="ext",IMABS(IMDIV(COMPLEX(-1,0),P711))*SUM(S701:S711),"–")</f>
        <v>–</v>
      </c>
      <c r="I712" s="9" t="s">
        <v>57</v>
      </c>
      <c r="J712" s="14" t="str">
        <f aca="false">IF($W$699="ext",MOD(-IMARGUMENT(IMDIV(COMPLEX(-1,0),P711))*$B$2/(2*PI()),24),"–")</f>
        <v>–</v>
      </c>
      <c r="K712" s="9" t="s">
        <v>58</v>
      </c>
      <c r="L712" s="15" t="n">
        <f aca="false">($B$2*3600)/(2*PI())*IMABS(IMDIV(IMSUB(O711,COMPLEX(1,0)),P711))/1000</f>
        <v>60.6517674262608</v>
      </c>
      <c r="M712" s="9" t="s">
        <v>59</v>
      </c>
      <c r="N712" s="15" t="n">
        <f aca="false">SUM(T702:T709)/1000</f>
        <v>220.32</v>
      </c>
      <c r="O712" s="9" t="s">
        <v>60</v>
      </c>
      <c r="P712" s="16" t="n">
        <f aca="false">SUM(S702:S709)</f>
        <v>1.2742474916388</v>
      </c>
    </row>
    <row r="714" customFormat="false" ht="15" hidden="false" customHeight="false" outlineLevel="0" collapsed="false">
      <c r="A714" s="4" t="s">
        <v>137</v>
      </c>
    </row>
    <row r="715" customFormat="false" ht="15" hidden="false" customHeight="false" outlineLevel="0" collapsed="false">
      <c r="A715" s="9"/>
      <c r="B715" s="9" t="s">
        <v>62</v>
      </c>
      <c r="C715" s="9" t="s">
        <v>63</v>
      </c>
      <c r="D715" s="9"/>
      <c r="E715" s="9"/>
      <c r="F715" s="9"/>
      <c r="G715" s="9"/>
      <c r="H715" s="9"/>
      <c r="I715" s="9"/>
      <c r="J715" s="9"/>
      <c r="K715" s="9" t="s">
        <v>32</v>
      </c>
      <c r="L715" s="9" t="s">
        <v>33</v>
      </c>
      <c r="M715" s="9" t="s">
        <v>34</v>
      </c>
      <c r="N715" s="9" t="s">
        <v>35</v>
      </c>
      <c r="O715" s="9" t="s">
        <v>36</v>
      </c>
      <c r="P715" s="9" t="s">
        <v>37</v>
      </c>
      <c r="Q715" s="9" t="s">
        <v>38</v>
      </c>
      <c r="R715" s="9" t="s">
        <v>39</v>
      </c>
    </row>
    <row r="716" customFormat="false" ht="15" hidden="false" customHeight="false" outlineLevel="0" collapsed="false">
      <c r="A716" s="7" t="s">
        <v>22</v>
      </c>
      <c r="B716" s="7" t="s">
        <v>42</v>
      </c>
      <c r="C716" s="10" t="n">
        <f aca="false">$Y$699</f>
        <v>0.17</v>
      </c>
      <c r="K716" s="7" t="str">
        <f aca="false">COMPLEX(1,0)</f>
        <v>1</v>
      </c>
      <c r="L716" s="7" t="str">
        <f aca="false">COMPLEX(-C716,0)</f>
        <v>-0.17</v>
      </c>
      <c r="M716" s="7" t="str">
        <f aca="false">COMPLEX(0,0)</f>
        <v>0</v>
      </c>
      <c r="N716" s="7" t="str">
        <f aca="false">COMPLEX(1,0)</f>
        <v>1</v>
      </c>
      <c r="O716" s="7" t="str">
        <f aca="false">K716</f>
        <v>1</v>
      </c>
      <c r="P716" s="7" t="str">
        <f aca="false">L716</f>
        <v>-0.17</v>
      </c>
      <c r="Q716" s="7" t="str">
        <f aca="false">M716</f>
        <v>0</v>
      </c>
      <c r="R716" s="7" t="str">
        <f aca="false">N716</f>
        <v>1</v>
      </c>
    </row>
    <row r="717" customFormat="false" ht="15" hidden="false" customHeight="false" outlineLevel="0" collapsed="false">
      <c r="A717" s="7" t="s">
        <v>64</v>
      </c>
      <c r="B717" s="7" t="s">
        <v>65</v>
      </c>
      <c r="C717" s="10" t="n">
        <f aca="false">INDEX(Classes!$B$5:$F$9,MATCH(Engine!$C$698,Classes!$A$5:$A$9,0),5)*(N712*1000)</f>
        <v>27540</v>
      </c>
      <c r="K717" s="7" t="str">
        <f aca="false">COMPLEX(1,0)</f>
        <v>1</v>
      </c>
      <c r="L717" s="7" t="str">
        <f aca="false">COMPLEX(0,0)</f>
        <v>0</v>
      </c>
      <c r="M717" s="7" t="str">
        <f aca="false">COMPLEX(0,-(2*PI()/($B$2*3600))*C717)</f>
        <v>-2.00276531666349i</v>
      </c>
      <c r="N717" s="7" t="str">
        <f aca="false">COMPLEX(1,0)</f>
        <v>1</v>
      </c>
      <c r="O717" s="7" t="str">
        <f aca="false">IMSUM(IMPRODUCT(K717,O716),IMPRODUCT(L717,Q716))</f>
        <v>1</v>
      </c>
      <c r="P717" s="7" t="str">
        <f aca="false">IMSUM(IMPRODUCT(K717,P716),IMPRODUCT(L717,R716))</f>
        <v>-0.17</v>
      </c>
      <c r="Q717" s="7" t="str">
        <f aca="false">IMSUM(IMPRODUCT(M717,O716),IMPRODUCT(N717,Q716))</f>
        <v>-2.00276531666349i</v>
      </c>
      <c r="R717" s="7" t="str">
        <f aca="false">IMSUM(IMPRODUCT(M717,P716),IMPRODUCT(N717,R716))</f>
        <v>1+0.340470103832793i</v>
      </c>
    </row>
    <row r="718" customFormat="false" ht="15" hidden="false" customHeight="false" outlineLevel="0" collapsed="false">
      <c r="A718" s="7" t="s">
        <v>66</v>
      </c>
      <c r="B718" s="7" t="s">
        <v>42</v>
      </c>
      <c r="C718" s="10" t="n">
        <f aca="false">P712/6</f>
        <v>0.212374581939799</v>
      </c>
      <c r="K718" s="7" t="str">
        <f aca="false">COMPLEX(1,0)</f>
        <v>1</v>
      </c>
      <c r="L718" s="7" t="str">
        <f aca="false">COMPLEX(-C718,0)</f>
        <v>-0.212374581939799</v>
      </c>
      <c r="M718" s="7" t="str">
        <f aca="false">COMPLEX(0,0)</f>
        <v>0</v>
      </c>
      <c r="N718" s="7" t="str">
        <f aca="false">COMPLEX(1,0)</f>
        <v>1</v>
      </c>
      <c r="O718" s="7" t="str">
        <f aca="false">IMSUM(IMPRODUCT(K718,O717),IMPRODUCT(L718,Q717))</f>
        <v>1+0.425336446849938i</v>
      </c>
      <c r="P718" s="7" t="str">
        <f aca="false">IMSUM(IMPRODUCT(K718,P717),IMPRODUCT(L718,R717))</f>
        <v>-0.382374581939799-0.0723071959644894i</v>
      </c>
      <c r="Q718" s="7" t="str">
        <f aca="false">IMSUM(IMPRODUCT(M718,O717),IMPRODUCT(N718,Q717))</f>
        <v>-2.00276531666349i</v>
      </c>
      <c r="R718" s="7" t="str">
        <f aca="false">IMSUM(IMPRODUCT(M718,P717),IMPRODUCT(N718,R717))</f>
        <v>1+0.340470103832793i</v>
      </c>
    </row>
    <row r="719" customFormat="false" ht="15" hidden="false" customHeight="false" outlineLevel="0" collapsed="false">
      <c r="A719" s="7" t="s">
        <v>67</v>
      </c>
      <c r="B719" s="7" t="s">
        <v>65</v>
      </c>
      <c r="C719" s="10" t="n">
        <f aca="false">INDEX(Classes!$B$5:$F$9,MATCH(Engine!$C$698,Classes!$A$5:$A$9,0),4)*(N712*1000)</f>
        <v>55080</v>
      </c>
      <c r="K719" s="7" t="str">
        <f aca="false">COMPLEX(1,0)</f>
        <v>1</v>
      </c>
      <c r="L719" s="7" t="str">
        <f aca="false">COMPLEX(0,0)</f>
        <v>0</v>
      </c>
      <c r="M719" s="7" t="str">
        <f aca="false">COMPLEX(0,-(2*PI()/($B$2*3600))*C719)</f>
        <v>-4.00553063332699i</v>
      </c>
      <c r="N719" s="7" t="str">
        <f aca="false">COMPLEX(1,0)</f>
        <v>1</v>
      </c>
      <c r="O719" s="7" t="str">
        <f aca="false">IMSUM(IMPRODUCT(K719,O718),IMPRODUCT(L719,Q718))</f>
        <v>1+0.425336446849938i</v>
      </c>
      <c r="P719" s="7" t="str">
        <f aca="false">IMSUM(IMPRODUCT(K719,P718),IMPRODUCT(L719,R718))</f>
        <v>-0.382374581939799-0.0723071959644894i</v>
      </c>
      <c r="Q719" s="7" t="str">
        <f aca="false">IMSUM(IMPRODUCT(M719,O718),IMPRODUCT(N719,Q718))</f>
        <v>1.70369816732788-6.00829594999048i</v>
      </c>
      <c r="R719" s="7" t="str">
        <f aca="false">IMSUM(IMPRODUCT(M719,P718),IMPRODUCT(N719,R718))</f>
        <v>0.71037131155426+1.87208320519826i</v>
      </c>
    </row>
    <row r="720" customFormat="false" ht="15" hidden="false" customHeight="false" outlineLevel="0" collapsed="false">
      <c r="A720" s="7" t="s">
        <v>68</v>
      </c>
      <c r="B720" s="7" t="s">
        <v>42</v>
      </c>
      <c r="C720" s="10" t="n">
        <f aca="false">P712/3</f>
        <v>0.424749163879599</v>
      </c>
      <c r="K720" s="7" t="str">
        <f aca="false">COMPLEX(1,0)</f>
        <v>1</v>
      </c>
      <c r="L720" s="7" t="str">
        <f aca="false">COMPLEX(-C720,0)</f>
        <v>-0.424749163879599</v>
      </c>
      <c r="M720" s="7" t="str">
        <f aca="false">COMPLEX(0,0)</f>
        <v>0</v>
      </c>
      <c r="N720" s="7" t="str">
        <f aca="false">COMPLEX(1,0)</f>
        <v>1</v>
      </c>
      <c r="O720" s="7" t="str">
        <f aca="false">IMSUM(IMPRODUCT(K720,O719),IMPRODUCT(L720,Q719))</f>
        <v>0.276355627924278+2.97735512794958i</v>
      </c>
      <c r="P720" s="7" t="str">
        <f aca="false">IMSUM(IMPRODUCT(K720,P719),IMPRODUCT(L720,R719))</f>
        <v>-0.684104202566525-0.86747297208549i</v>
      </c>
      <c r="Q720" s="7" t="str">
        <f aca="false">IMSUM(IMPRODUCT(M720,O719),IMPRODUCT(N720,Q719))</f>
        <v>1.70369816732788-6.00829594999048i</v>
      </c>
      <c r="R720" s="7" t="str">
        <f aca="false">IMSUM(IMPRODUCT(M720,P719),IMPRODUCT(N720,R719))</f>
        <v>0.71037131155426+1.87208320519826i</v>
      </c>
    </row>
    <row r="721" customFormat="false" ht="15" hidden="false" customHeight="false" outlineLevel="0" collapsed="false">
      <c r="A721" s="7" t="s">
        <v>69</v>
      </c>
      <c r="B721" s="7" t="s">
        <v>65</v>
      </c>
      <c r="C721" s="10" t="n">
        <f aca="false">INDEX(Classes!$B$5:$F$9,MATCH(Engine!$C$698,Classes!$A$5:$A$9,0),3)*(N712*1000)</f>
        <v>55080</v>
      </c>
      <c r="K721" s="7" t="str">
        <f aca="false">COMPLEX(1,0)</f>
        <v>1</v>
      </c>
      <c r="L721" s="7" t="str">
        <f aca="false">COMPLEX(0,0)</f>
        <v>0</v>
      </c>
      <c r="M721" s="7" t="str">
        <f aca="false">COMPLEX(0,-(2*PI()/($B$2*3600))*C721)</f>
        <v>-4.00553063332699i</v>
      </c>
      <c r="N721" s="7" t="str">
        <f aca="false">COMPLEX(1,0)</f>
        <v>1</v>
      </c>
      <c r="O721" s="7" t="str">
        <f aca="false">IMSUM(IMPRODUCT(K721,O720),IMPRODUCT(L721,Q720))</f>
        <v>0.276355627924278+2.97735512794958i</v>
      </c>
      <c r="P721" s="7" t="str">
        <f aca="false">IMSUM(IMPRODUCT(K721,P720),IMPRODUCT(L721,R720))</f>
        <v>-0.684104202566525-0.86747297208549i</v>
      </c>
      <c r="Q721" s="7" t="str">
        <f aca="false">IMSUM(IMPRODUCT(M721,O720),IMPRODUCT(N721,Q720))</f>
        <v>13.6295853386231-7.11524688333349i</v>
      </c>
      <c r="R721" s="7" t="str">
        <f aca="false">IMSUM(IMPRODUCT(M721,P720),IMPRODUCT(N721,R720))</f>
        <v>-2.76431825171738+4.61228354496621i</v>
      </c>
    </row>
    <row r="722" customFormat="false" ht="15" hidden="false" customHeight="false" outlineLevel="0" collapsed="false">
      <c r="A722" s="7" t="s">
        <v>68</v>
      </c>
      <c r="B722" s="7" t="s">
        <v>42</v>
      </c>
      <c r="C722" s="10" t="n">
        <f aca="false">P712/3</f>
        <v>0.424749163879599</v>
      </c>
      <c r="K722" s="7" t="str">
        <f aca="false">COMPLEX(1,0)</f>
        <v>1</v>
      </c>
      <c r="L722" s="7" t="str">
        <f aca="false">COMPLEX(-C722,0)</f>
        <v>-0.424749163879599</v>
      </c>
      <c r="M722" s="7" t="str">
        <f aca="false">COMPLEX(0,0)</f>
        <v>0</v>
      </c>
      <c r="N722" s="7" t="str">
        <f aca="false">COMPLEX(1,0)</f>
        <v>1</v>
      </c>
      <c r="O722" s="7" t="str">
        <f aca="false">IMSUM(IMPRODUCT(K722,O721),IMPRODUCT(L722,Q721))</f>
        <v>-5.51279934868152+5.9995502924424i</v>
      </c>
      <c r="P722" s="7" t="str">
        <f aca="false">IMSUM(IMPRODUCT(K722,P721),IMPRODUCT(L722,R721))</f>
        <v>0.490037663547545-2.82653655138552i</v>
      </c>
      <c r="Q722" s="7" t="str">
        <f aca="false">IMSUM(IMPRODUCT(M722,O721),IMPRODUCT(N722,Q721))</f>
        <v>13.6295853386231-7.11524688333349i</v>
      </c>
      <c r="R722" s="7" t="str">
        <f aca="false">IMSUM(IMPRODUCT(M722,P721),IMPRODUCT(N722,R721))</f>
        <v>-2.76431825171738+4.61228354496621i</v>
      </c>
    </row>
    <row r="723" customFormat="false" ht="15" hidden="false" customHeight="false" outlineLevel="0" collapsed="false">
      <c r="A723" s="7" t="s">
        <v>70</v>
      </c>
      <c r="B723" s="7" t="s">
        <v>65</v>
      </c>
      <c r="C723" s="10" t="n">
        <f aca="false">INDEX(Classes!$B$5:$F$9,MATCH(Engine!$C$698,Classes!$A$5:$A$9,0),2)*(N712*1000)</f>
        <v>55080</v>
      </c>
      <c r="K723" s="7" t="str">
        <f aca="false">COMPLEX(1,0)</f>
        <v>1</v>
      </c>
      <c r="L723" s="7" t="str">
        <f aca="false">COMPLEX(0,0)</f>
        <v>0</v>
      </c>
      <c r="M723" s="7" t="str">
        <f aca="false">COMPLEX(0,-(2*PI()/($B$2*3600))*C723)</f>
        <v>-4.00553063332699i</v>
      </c>
      <c r="N723" s="7" t="str">
        <f aca="false">COMPLEX(1,0)</f>
        <v>1</v>
      </c>
      <c r="O723" s="7" t="str">
        <f aca="false">IMSUM(IMPRODUCT(K723,O722),IMPRODUCT(L723,Q722))</f>
        <v>-5.51279934868152+5.9995502924424i</v>
      </c>
      <c r="P723" s="7" t="str">
        <f aca="false">IMSUM(IMPRODUCT(K723,P722),IMPRODUCT(L723,R722))</f>
        <v>0.490037663547545-2.82653655138552i</v>
      </c>
      <c r="Q723" s="7" t="str">
        <f aca="false">IMSUM(IMPRODUCT(M723,O722),IMPRODUCT(N723,Q722))</f>
        <v>37.660967821187+14.9664397831954i</v>
      </c>
      <c r="R723" s="7" t="str">
        <f aca="false">IMSUM(IMPRODUCT(M723,P722),IMPRODUCT(N723,R722))</f>
        <v>-14.0860969945105+2.64942267214253i</v>
      </c>
    </row>
    <row r="724" customFormat="false" ht="15" hidden="false" customHeight="false" outlineLevel="0" collapsed="false">
      <c r="A724" s="7" t="s">
        <v>66</v>
      </c>
      <c r="B724" s="7" t="s">
        <v>42</v>
      </c>
      <c r="C724" s="10" t="n">
        <f aca="false">P712/6</f>
        <v>0.212374581939799</v>
      </c>
      <c r="K724" s="7" t="str">
        <f aca="false">COMPLEX(1,0)</f>
        <v>1</v>
      </c>
      <c r="L724" s="7" t="str">
        <f aca="false">COMPLEX(-C724,0)</f>
        <v>-0.212374581939799</v>
      </c>
      <c r="M724" s="7" t="str">
        <f aca="false">COMPLEX(0,0)</f>
        <v>0</v>
      </c>
      <c r="N724" s="7" t="str">
        <f aca="false">COMPLEX(1,0)</f>
        <v>1</v>
      </c>
      <c r="O724" s="7" t="str">
        <f aca="false">IMSUM(IMPRODUCT(K724,O723),IMPRODUCT(L724,Q723))</f>
        <v>-13.5110316451543+2.8210589003591i</v>
      </c>
      <c r="P724" s="7" t="str">
        <f aca="false">IMSUM(IMPRODUCT(K724,P723),IMPRODUCT(L724,R723))</f>
        <v>3.48156662392018-3.38920658376361i</v>
      </c>
      <c r="Q724" s="7" t="str">
        <f aca="false">IMSUM(IMPRODUCT(M724,O723),IMPRODUCT(N724,Q723))</f>
        <v>37.660967821187+14.9664397831954i</v>
      </c>
      <c r="R724" s="7" t="str">
        <f aca="false">IMSUM(IMPRODUCT(M724,P723),IMPRODUCT(N724,R723))</f>
        <v>-14.0860969945105+2.64942267214253i</v>
      </c>
    </row>
    <row r="725" customFormat="false" ht="15" hidden="false" customHeight="false" outlineLevel="0" collapsed="false">
      <c r="A725" s="7" t="s">
        <v>71</v>
      </c>
      <c r="B725" s="7" t="s">
        <v>65</v>
      </c>
      <c r="C725" s="10" t="n">
        <f aca="false">INDEX(Classes!$B$5:$F$9,MATCH(Engine!$C$698,Classes!$A$5:$A$9,0),1)*(N712*1000)</f>
        <v>27540</v>
      </c>
      <c r="K725" s="7" t="str">
        <f aca="false">COMPLEX(1,0)</f>
        <v>1</v>
      </c>
      <c r="L725" s="7" t="str">
        <f aca="false">COMPLEX(0,0)</f>
        <v>0</v>
      </c>
      <c r="M725" s="7" t="str">
        <f aca="false">COMPLEX(0,-(2*PI()/($B$2*3600))*C725)</f>
        <v>-2.00276531666349i</v>
      </c>
      <c r="N725" s="7" t="str">
        <f aca="false">COMPLEX(1,0)</f>
        <v>1</v>
      </c>
      <c r="O725" s="7" t="str">
        <f aca="false">IMSUM(IMPRODUCT(K725,O724),IMPRODUCT(L725,Q724))</f>
        <v>-13.5110316451543+2.8210589003591i</v>
      </c>
      <c r="P725" s="7" t="str">
        <f aca="false">IMSUM(IMPRODUCT(K725,P724),IMPRODUCT(L725,R724))</f>
        <v>3.48156662392018-3.38920658376361i</v>
      </c>
      <c r="Q725" s="7" t="str">
        <f aca="false">IMSUM(IMPRODUCT(M725,O724),IMPRODUCT(N725,Q724))</f>
        <v>43.310886743091+42.0258653544533i</v>
      </c>
      <c r="R725" s="7" t="str">
        <f aca="false">IMSUM(IMPRODUCT(M725,P724),IMPRODUCT(N725,R724))</f>
        <v>-20.8738823914798-4.32333820989801i</v>
      </c>
    </row>
    <row r="726" customFormat="false" ht="15" hidden="false" customHeight="false" outlineLevel="0" collapsed="false">
      <c r="A726" s="7" t="s">
        <v>72</v>
      </c>
      <c r="B726" s="7" t="s">
        <v>73</v>
      </c>
      <c r="K726" s="7" t="str">
        <f aca="false">K710</f>
        <v>1</v>
      </c>
      <c r="L726" s="7" t="str">
        <f aca="false">L710</f>
        <v>-0</v>
      </c>
      <c r="M726" s="7" t="str">
        <f aca="false">M710</f>
        <v>0</v>
      </c>
      <c r="N726" s="7" t="str">
        <f aca="false">N710</f>
        <v>1</v>
      </c>
      <c r="O726" s="7" t="str">
        <f aca="false">IMSUM(IMPRODUCT(K726,O725),IMPRODUCT(L726,Q725))</f>
        <v>-13.5110316451543+2.8210589003591i</v>
      </c>
      <c r="P726" s="7" t="str">
        <f aca="false">IMSUM(IMPRODUCT(K726,P725),IMPRODUCT(L726,R725))</f>
        <v>3.48156662392018-3.38920658376361i</v>
      </c>
      <c r="Q726" s="7" t="str">
        <f aca="false">IMSUM(IMPRODUCT(M726,O725),IMPRODUCT(N726,Q725))</f>
        <v>43.310886743091+42.0258653544533i</v>
      </c>
      <c r="R726" s="7" t="str">
        <f aca="false">IMSUM(IMPRODUCT(M726,P725),IMPRODUCT(N726,R725))</f>
        <v>-20.8738823914798-4.32333820989801i</v>
      </c>
    </row>
    <row r="727" customFormat="false" ht="15" hidden="false" customHeight="false" outlineLevel="0" collapsed="false">
      <c r="A727" s="7" t="s">
        <v>52</v>
      </c>
      <c r="B727" s="7" t="s">
        <v>73</v>
      </c>
      <c r="K727" s="7" t="str">
        <f aca="false">K711</f>
        <v>1</v>
      </c>
      <c r="L727" s="7" t="str">
        <f aca="false">L711</f>
        <v>-0.17</v>
      </c>
      <c r="M727" s="7" t="str">
        <f aca="false">M711</f>
        <v>0</v>
      </c>
      <c r="N727" s="7" t="str">
        <f aca="false">N711</f>
        <v>1</v>
      </c>
      <c r="O727" s="7" t="str">
        <f aca="false">IMSUM(IMPRODUCT(K727,O726),IMPRODUCT(L727,Q726))</f>
        <v>-20.8738823914798-4.32333820989796i</v>
      </c>
      <c r="P727" s="7" t="str">
        <f aca="false">IMSUM(IMPRODUCT(K727,P726),IMPRODUCT(L727,R726))</f>
        <v>7.03012663047175-2.65423908808095i</v>
      </c>
      <c r="Q727" s="7" t="str">
        <f aca="false">IMSUM(IMPRODUCT(M727,O726),IMPRODUCT(N727,Q726))</f>
        <v>43.310886743091+42.0258653544533i</v>
      </c>
      <c r="R727" s="7" t="str">
        <f aca="false">IMSUM(IMPRODUCT(M727,P726),IMPRODUCT(N727,R726))</f>
        <v>-20.8738823914798-4.32333820989801i</v>
      </c>
    </row>
    <row r="728" customFormat="false" ht="15" hidden="false" customHeight="false" outlineLevel="0" collapsed="false">
      <c r="A728" s="9" t="s">
        <v>74</v>
      </c>
      <c r="B728" s="13" t="n">
        <f aca="false">IMABS(IMDIV(IMPRODUCT(O727,COMPLEX(-1,0)),P727))</f>
        <v>2.83677001607367</v>
      </c>
    </row>
    <row r="731" customFormat="false" ht="15" hidden="false" customHeight="false" outlineLevel="0" collapsed="false">
      <c r="A731" s="4" t="s">
        <v>138</v>
      </c>
      <c r="B731" s="9" t="s">
        <v>18</v>
      </c>
      <c r="C731" s="7" t="str">
        <f aca="false">INDEX(Library!$F$5:$F$34,MATCH(A731,Library!$A$5:$A$34,0))</f>
        <v>D</v>
      </c>
    </row>
    <row r="732" customFormat="false" ht="15" hidden="false" customHeight="false" outlineLevel="0" collapsed="false">
      <c r="A732" s="4" t="s">
        <v>139</v>
      </c>
      <c r="T732" s="9" t="s">
        <v>20</v>
      </c>
      <c r="U732" s="7" t="n">
        <f aca="false">MATCH($A$731,Library!$A$5:$A$34,0)</f>
        <v>23</v>
      </c>
      <c r="V732" s="9" t="s">
        <v>21</v>
      </c>
      <c r="W732" s="7" t="str">
        <f aca="false">INDEX(Library!$D$5:$D$34,$U$732)</f>
        <v>adiabatic</v>
      </c>
      <c r="X732" s="9" t="s">
        <v>22</v>
      </c>
      <c r="Y732" s="7" t="n">
        <f aca="false">INDEX(Library!$E$5:$E$34,$U$732)</f>
        <v>0.13</v>
      </c>
    </row>
    <row r="733" customFormat="false" ht="15" hidden="false" customHeight="false" outlineLevel="0" collapsed="false">
      <c r="A733" s="9"/>
      <c r="B733" s="9" t="s">
        <v>23</v>
      </c>
      <c r="C733" s="9" t="s">
        <v>24</v>
      </c>
      <c r="D733" s="9" t="s">
        <v>25</v>
      </c>
      <c r="E733" s="9" t="s">
        <v>26</v>
      </c>
      <c r="F733" s="9" t="s">
        <v>27</v>
      </c>
      <c r="G733" s="9" t="s">
        <v>28</v>
      </c>
      <c r="H733" s="9" t="s">
        <v>29</v>
      </c>
      <c r="I733" s="9" t="s">
        <v>30</v>
      </c>
      <c r="J733" s="9" t="s">
        <v>31</v>
      </c>
      <c r="K733" s="9" t="s">
        <v>32</v>
      </c>
      <c r="L733" s="9" t="s">
        <v>33</v>
      </c>
      <c r="M733" s="9" t="s">
        <v>34</v>
      </c>
      <c r="N733" s="9" t="s">
        <v>35</v>
      </c>
      <c r="O733" s="9" t="s">
        <v>36</v>
      </c>
      <c r="P733" s="9" t="s">
        <v>37</v>
      </c>
      <c r="Q733" s="9" t="s">
        <v>38</v>
      </c>
      <c r="R733" s="9" t="s">
        <v>39</v>
      </c>
      <c r="S733" s="9" t="s">
        <v>40</v>
      </c>
      <c r="T733" s="9" t="s">
        <v>41</v>
      </c>
    </row>
    <row r="734" customFormat="false" ht="15" hidden="false" customHeight="false" outlineLevel="0" collapsed="false">
      <c r="A734" s="7" t="s">
        <v>22</v>
      </c>
      <c r="B734" s="7" t="s">
        <v>42</v>
      </c>
      <c r="H734" s="10" t="n">
        <f aca="false">$Y$732</f>
        <v>0.13</v>
      </c>
      <c r="I734" s="11" t="n">
        <f aca="false">IF(B734="mass",SQRT(E734*($B$2*3600)/(PI()*F734*G734)),0)</f>
        <v>0</v>
      </c>
      <c r="J734" s="10" t="n">
        <f aca="false">IF(B734="mass",D734/I734,0)</f>
        <v>0</v>
      </c>
      <c r="K734" s="7" t="str">
        <f aca="false">IF(B734="mass",COMPLEX(COSH(J734)*COS(J734),SINH(J734)*SIN(J734)),COMPLEX(1,0))</f>
        <v>1</v>
      </c>
      <c r="L734" s="7" t="str">
        <f aca="false">IF(B734="mass",COMPLEX(-I734/(2*E734)*(SINH(J734)*COS(J734)+COSH(J734)*SIN(J734)),-I734/(2*E734)*(COSH(J734)*SIN(J734)-SINH(J734)*COS(J734))),COMPLEX(-H734,0))</f>
        <v>-0.13</v>
      </c>
      <c r="M734" s="7" t="str">
        <f aca="false">IF(B734="mass",COMPLEX(-E734/I734*(SINH(J734)*COS(J734)-COSH(J734)*SIN(J734)),-E734/I734*(SINH(J734)*COS(J734)+COSH(J734)*SIN(J734))),COMPLEX(0,0))</f>
        <v>0</v>
      </c>
      <c r="N734" s="7" t="str">
        <f aca="false">K734</f>
        <v>1</v>
      </c>
      <c r="O734" s="7" t="str">
        <f aca="false">K734</f>
        <v>1</v>
      </c>
      <c r="P734" s="7" t="str">
        <f aca="false">L734</f>
        <v>-0.13</v>
      </c>
      <c r="Q734" s="7" t="str">
        <f aca="false">M734</f>
        <v>0</v>
      </c>
      <c r="R734" s="7" t="str">
        <f aca="false">N734</f>
        <v>1</v>
      </c>
      <c r="S734" s="10" t="n">
        <f aca="false">IF(B734="mass",D734/E734,H734)</f>
        <v>0.13</v>
      </c>
      <c r="T734" s="12" t="n">
        <f aca="false">IF(B734="mass",F734*G734*D734,0)</f>
        <v>0</v>
      </c>
    </row>
    <row r="735" customFormat="false" ht="15" hidden="false" customHeight="false" outlineLevel="0" collapsed="false">
      <c r="A735" s="7" t="s">
        <v>43</v>
      </c>
      <c r="B735" s="7" t="str">
        <f aca="false">IF(C735="","none",IF(C735="Cavity","res","mass"))</f>
        <v>mass</v>
      </c>
      <c r="C735" s="7" t="str">
        <f aca="false">IF(INDEX(Library!$G$5:$G$34,$U$732)="","",INDEX(Library!$G$5:$G$34,$U$732))</f>
        <v>plasterboard</v>
      </c>
      <c r="D735" s="11" t="n">
        <f aca="false">IF(B735="mass",INDEX(Library!$H$5:$H$34,$U$732)/1000,0)</f>
        <v>0.0125</v>
      </c>
      <c r="E735" s="7" t="n">
        <f aca="false">IF(B735="mass",INDEX(Materials!$B$5:$B$28,MATCH(C735,Materials!$A$5:$A$28,0)),0)</f>
        <v>0.21</v>
      </c>
      <c r="F735" s="7" t="n">
        <f aca="false">IF(B735="mass",INDEX(Materials!$C$5:$C$28,MATCH(C735,Materials!$A$5:$A$28,0)),0)</f>
        <v>700</v>
      </c>
      <c r="G735" s="7" t="n">
        <f aca="false">IF(B735="mass",INDEX(Materials!$D$5:$D$28,MATCH(C735,Materials!$A$5:$A$28,0)),0)</f>
        <v>1000</v>
      </c>
      <c r="H735" s="10" t="n">
        <f aca="false">IF(B735="res",INDEX(Library!$H$5:$H$34,$U$732),0)</f>
        <v>0</v>
      </c>
      <c r="I735" s="11" t="n">
        <f aca="false">IF(B735="mass",SQRT(E735*($B$2*3600)/(PI()*F735*G735)),0)</f>
        <v>0.0908327707927258</v>
      </c>
      <c r="J735" s="10" t="n">
        <f aca="false">IF(B735="mass",D735/I735,0)</f>
        <v>0.137615531166875</v>
      </c>
      <c r="K735" s="7" t="str">
        <f aca="false">IF(B735="mass",COMPLEX(COSH(J735)*COS(J735),SINH(J735)*SIN(J735)),COMPLEX(1,0))</f>
        <v>0.999940225193105+0.0189379589504749i</v>
      </c>
      <c r="L735" s="7" t="str">
        <f aca="false">IF(B735="mass",COMPLEX(-I735/(2*E735)*(SINH(J735)*COS(J735)+COSH(J735)*SIN(J735)),-I735/(2*E735)*(COSH(J735)*SIN(J735)-SINH(J735)*COS(J735))),COMPLEX(-H735,0))</f>
        <v>-0.0595230979186955-0.000375754009423939i</v>
      </c>
      <c r="M735" s="7" t="str">
        <f aca="false">IF(B735="mass",COMPLEX(-E735/I735*(SINH(J735)*COS(J735)-COSH(J735)*SIN(J735)),-E735/I735*(SINH(J735)*COS(J735)+COSH(J735)*SIN(J735))),COMPLEX(0,0))</f>
        <v>0.00401686359323574-0.636310349296785i</v>
      </c>
      <c r="N735" s="7" t="str">
        <f aca="false">K735</f>
        <v>0.999940225193105+0.0189379589504749i</v>
      </c>
      <c r="O735" s="7" t="str">
        <f aca="false">IMSUM(IMPRODUCT(K735,O734),IMPRODUCT(L735,Q734))</f>
        <v>0.999940225193105+0.0189379589504749i</v>
      </c>
      <c r="P735" s="7" t="str">
        <f aca="false">IMSUM(IMPRODUCT(K735,P734),IMPRODUCT(L735,R734))</f>
        <v>-0.1895153271938-0.00283768867298567i</v>
      </c>
      <c r="Q735" s="7" t="str">
        <f aca="false">IMSUM(IMPRODUCT(M735,O734),IMPRODUCT(N735,Q734))</f>
        <v>0.00401686359323574-0.636310349296785i</v>
      </c>
      <c r="R735" s="7" t="str">
        <f aca="false">IMSUM(IMPRODUCT(M735,P734),IMPRODUCT(N735,R734))</f>
        <v>0.999418032925984+0.101658304359057i</v>
      </c>
      <c r="S735" s="10" t="n">
        <f aca="false">IF(B735="mass",D735/E735,H735)</f>
        <v>0.0595238095238095</v>
      </c>
      <c r="T735" s="12" t="n">
        <f aca="false">IF(B735="mass",F735*G735*D735,0)</f>
        <v>8750</v>
      </c>
    </row>
    <row r="736" customFormat="false" ht="15" hidden="false" customHeight="false" outlineLevel="0" collapsed="false">
      <c r="A736" s="7" t="s">
        <v>44</v>
      </c>
      <c r="B736" s="7" t="str">
        <f aca="false">IF(C736="","none",IF(C736="Cavity","res","mass"))</f>
        <v>res</v>
      </c>
      <c r="C736" s="7" t="str">
        <f aca="false">IF(INDEX(Library!$I$5:$I$34,$U$732)="","",INDEX(Library!$I$5:$I$34,$U$732))</f>
        <v>Cavity</v>
      </c>
      <c r="D736" s="11" t="n">
        <f aca="false">IF(B736="mass",INDEX(Library!$J$5:$J$34,$U$732)/1000,0)</f>
        <v>0</v>
      </c>
      <c r="E736" s="7" t="n">
        <f aca="false">IF(B736="mass",INDEX(Materials!$B$5:$B$28,MATCH(C736,Materials!$A$5:$A$28,0)),0)</f>
        <v>0</v>
      </c>
      <c r="F736" s="7" t="n">
        <f aca="false">IF(B736="mass",INDEX(Materials!$C$5:$C$28,MATCH(C736,Materials!$A$5:$A$28,0)),0)</f>
        <v>0</v>
      </c>
      <c r="G736" s="7" t="n">
        <f aca="false">IF(B736="mass",INDEX(Materials!$D$5:$D$28,MATCH(C736,Materials!$A$5:$A$28,0)),0)</f>
        <v>0</v>
      </c>
      <c r="H736" s="10" t="n">
        <f aca="false">IF(B736="res",INDEX(Library!$J$5:$J$34,$U$732),0)</f>
        <v>0.09</v>
      </c>
      <c r="I736" s="11" t="n">
        <f aca="false">IF(B736="mass",SQRT(E736*($B$2*3600)/(PI()*F736*G736)),0)</f>
        <v>0</v>
      </c>
      <c r="J736" s="10" t="n">
        <f aca="false">IF(B736="mass",D736/I736,0)</f>
        <v>0</v>
      </c>
      <c r="K736" s="7" t="str">
        <f aca="false">IF(B736="mass",COMPLEX(COSH(J736)*COS(J736),SINH(J736)*SIN(J736)),COMPLEX(1,0))</f>
        <v>1</v>
      </c>
      <c r="L736" s="7" t="str">
        <f aca="false">IF(B736="mass",COMPLEX(-I736/(2*E736)*(SINH(J736)*COS(J736)+COSH(J736)*SIN(J736)),-I736/(2*E736)*(COSH(J736)*SIN(J736)-SINH(J736)*COS(J736))),COMPLEX(-H736,0))</f>
        <v>-0.09</v>
      </c>
      <c r="M736" s="7" t="str">
        <f aca="false">IF(B736="mass",COMPLEX(-E736/I736*(SINH(J736)*COS(J736)-COSH(J736)*SIN(J736)),-E736/I736*(SINH(J736)*COS(J736)+COSH(J736)*SIN(J736))),COMPLEX(0,0))</f>
        <v>0</v>
      </c>
      <c r="N736" s="7" t="str">
        <f aca="false">K736</f>
        <v>1</v>
      </c>
      <c r="O736" s="7" t="str">
        <f aca="false">IMSUM(IMPRODUCT(K736,O735),IMPRODUCT(L736,Q735))</f>
        <v>0.999578707469714+0.0762058903871856i</v>
      </c>
      <c r="P736" s="7" t="str">
        <f aca="false">IMSUM(IMPRODUCT(K736,P735),IMPRODUCT(L736,R735))</f>
        <v>-0.279462950157139-0.0119869360653008i</v>
      </c>
      <c r="Q736" s="7" t="str">
        <f aca="false">IMSUM(IMPRODUCT(M736,O735),IMPRODUCT(N736,Q735))</f>
        <v>0.00401686359323574-0.636310349296785i</v>
      </c>
      <c r="R736" s="7" t="str">
        <f aca="false">IMSUM(IMPRODUCT(M736,P735),IMPRODUCT(N736,R735))</f>
        <v>0.999418032925984+0.101658304359057i</v>
      </c>
      <c r="S736" s="10" t="n">
        <f aca="false">IF(B736="mass",D736/E736,H736)</f>
        <v>0.09</v>
      </c>
      <c r="T736" s="12" t="n">
        <f aca="false">IF(B736="mass",F736*G736*D736,0)</f>
        <v>0</v>
      </c>
    </row>
    <row r="737" customFormat="false" ht="15" hidden="false" customHeight="false" outlineLevel="0" collapsed="false">
      <c r="A737" s="7" t="s">
        <v>45</v>
      </c>
      <c r="B737" s="7" t="str">
        <f aca="false">IF(C737="","none",IF(C737="Cavity","res","mass"))</f>
        <v>none</v>
      </c>
      <c r="C737" s="7" t="str">
        <f aca="false">IF(INDEX(Library!$K$5:$K$34,$U$732)="","",INDEX(Library!$K$5:$K$34,$U$732))</f>
        <v/>
      </c>
      <c r="D737" s="11" t="n">
        <f aca="false">IF(B737="mass",INDEX(Library!$L$5:$L$34,$U$732)/1000,0)</f>
        <v>0</v>
      </c>
      <c r="E737" s="7" t="n">
        <f aca="false">IF(B737="mass",INDEX(Materials!$B$5:$B$28,MATCH(C737,Materials!$A$5:$A$28,0)),0)</f>
        <v>0</v>
      </c>
      <c r="F737" s="7" t="n">
        <f aca="false">IF(B737="mass",INDEX(Materials!$C$5:$C$28,MATCH(C737,Materials!$A$5:$A$28,0)),0)</f>
        <v>0</v>
      </c>
      <c r="G737" s="7" t="n">
        <f aca="false">IF(B737="mass",INDEX(Materials!$D$5:$D$28,MATCH(C737,Materials!$A$5:$A$28,0)),0)</f>
        <v>0</v>
      </c>
      <c r="H737" s="10" t="n">
        <f aca="false">IF(B737="res",INDEX(Library!$L$5:$L$34,$U$732),0)</f>
        <v>0</v>
      </c>
      <c r="I737" s="11" t="n">
        <f aca="false">IF(B737="mass",SQRT(E737*($B$2*3600)/(PI()*F737*G737)),0)</f>
        <v>0</v>
      </c>
      <c r="J737" s="10" t="n">
        <f aca="false">IF(B737="mass",D737/I737,0)</f>
        <v>0</v>
      </c>
      <c r="K737" s="7" t="str">
        <f aca="false">IF(B737="mass",COMPLEX(COSH(J737)*COS(J737),SINH(J737)*SIN(J737)),COMPLEX(1,0))</f>
        <v>1</v>
      </c>
      <c r="L737" s="7" t="str">
        <f aca="false">IF(B737="mass",COMPLEX(-I737/(2*E737)*(SINH(J737)*COS(J737)+COSH(J737)*SIN(J737)),-I737/(2*E737)*(COSH(J737)*SIN(J737)-SINH(J737)*COS(J737))),COMPLEX(-H737,0))</f>
        <v>-0</v>
      </c>
      <c r="M737" s="7" t="str">
        <f aca="false">IF(B737="mass",COMPLEX(-E737/I737*(SINH(J737)*COS(J737)-COSH(J737)*SIN(J737)),-E737/I737*(SINH(J737)*COS(J737)+COSH(J737)*SIN(J737))),COMPLEX(0,0))</f>
        <v>0</v>
      </c>
      <c r="N737" s="7" t="str">
        <f aca="false">K737</f>
        <v>1</v>
      </c>
      <c r="O737" s="7" t="str">
        <f aca="false">IMSUM(IMPRODUCT(K737,O736),IMPRODUCT(L737,Q736))</f>
        <v>0.999578707469714+0.0762058903871856i</v>
      </c>
      <c r="P737" s="7" t="str">
        <f aca="false">IMSUM(IMPRODUCT(K737,P736),IMPRODUCT(L737,R736))</f>
        <v>-0.279462950157139-0.0119869360653008i</v>
      </c>
      <c r="Q737" s="7" t="str">
        <f aca="false">IMSUM(IMPRODUCT(M737,O736),IMPRODUCT(N737,Q736))</f>
        <v>0.00401686359323574-0.636310349296785i</v>
      </c>
      <c r="R737" s="7" t="str">
        <f aca="false">IMSUM(IMPRODUCT(M737,P736),IMPRODUCT(N737,R736))</f>
        <v>0.999418032925984+0.101658304359057i</v>
      </c>
      <c r="S737" s="10" t="n">
        <f aca="false">IF(B737="mass",D737/E737,H737)</f>
        <v>0</v>
      </c>
      <c r="T737" s="12" t="n">
        <f aca="false">IF(B737="mass",F737*G737*D737,0)</f>
        <v>0</v>
      </c>
    </row>
    <row r="738" customFormat="false" ht="15" hidden="false" customHeight="false" outlineLevel="0" collapsed="false">
      <c r="A738" s="7" t="s">
        <v>46</v>
      </c>
      <c r="B738" s="7" t="str">
        <f aca="false">IF(C738="","none",IF(C738="Cavity","res","mass"))</f>
        <v>none</v>
      </c>
      <c r="C738" s="7" t="str">
        <f aca="false">IF(INDEX(Library!$M$5:$M$34,$U$732)="","",INDEX(Library!$M$5:$M$34,$U$732))</f>
        <v/>
      </c>
      <c r="D738" s="11" t="n">
        <f aca="false">IF(B738="mass",INDEX(Library!$N$5:$N$34,$U$732)/1000,0)</f>
        <v>0</v>
      </c>
      <c r="E738" s="7" t="n">
        <f aca="false">IF(B738="mass",INDEX(Materials!$B$5:$B$28,MATCH(C738,Materials!$A$5:$A$28,0)),0)</f>
        <v>0</v>
      </c>
      <c r="F738" s="7" t="n">
        <f aca="false">IF(B738="mass",INDEX(Materials!$C$5:$C$28,MATCH(C738,Materials!$A$5:$A$28,0)),0)</f>
        <v>0</v>
      </c>
      <c r="G738" s="7" t="n">
        <f aca="false">IF(B738="mass",INDEX(Materials!$D$5:$D$28,MATCH(C738,Materials!$A$5:$A$28,0)),0)</f>
        <v>0</v>
      </c>
      <c r="H738" s="10" t="n">
        <f aca="false">IF(B738="res",INDEX(Library!$N$5:$N$34,$U$732),0)</f>
        <v>0</v>
      </c>
      <c r="I738" s="11" t="n">
        <f aca="false">IF(B738="mass",SQRT(E738*($B$2*3600)/(PI()*F738*G738)),0)</f>
        <v>0</v>
      </c>
      <c r="J738" s="10" t="n">
        <f aca="false">IF(B738="mass",D738/I738,0)</f>
        <v>0</v>
      </c>
      <c r="K738" s="7" t="str">
        <f aca="false">IF(B738="mass",COMPLEX(COSH(J738)*COS(J738),SINH(J738)*SIN(J738)),COMPLEX(1,0))</f>
        <v>1</v>
      </c>
      <c r="L738" s="7" t="str">
        <f aca="false">IF(B738="mass",COMPLEX(-I738/(2*E738)*(SINH(J738)*COS(J738)+COSH(J738)*SIN(J738)),-I738/(2*E738)*(COSH(J738)*SIN(J738)-SINH(J738)*COS(J738))),COMPLEX(-H738,0))</f>
        <v>-0</v>
      </c>
      <c r="M738" s="7" t="str">
        <f aca="false">IF(B738="mass",COMPLEX(-E738/I738*(SINH(J738)*COS(J738)-COSH(J738)*SIN(J738)),-E738/I738*(SINH(J738)*COS(J738)+COSH(J738)*SIN(J738))),COMPLEX(0,0))</f>
        <v>0</v>
      </c>
      <c r="N738" s="7" t="str">
        <f aca="false">K738</f>
        <v>1</v>
      </c>
      <c r="O738" s="7" t="str">
        <f aca="false">IMSUM(IMPRODUCT(K738,O737),IMPRODUCT(L738,Q737))</f>
        <v>0.999578707469714+0.0762058903871856i</v>
      </c>
      <c r="P738" s="7" t="str">
        <f aca="false">IMSUM(IMPRODUCT(K738,P737),IMPRODUCT(L738,R737))</f>
        <v>-0.279462950157139-0.0119869360653008i</v>
      </c>
      <c r="Q738" s="7" t="str">
        <f aca="false">IMSUM(IMPRODUCT(M738,O737),IMPRODUCT(N738,Q737))</f>
        <v>0.00401686359323574-0.636310349296785i</v>
      </c>
      <c r="R738" s="7" t="str">
        <f aca="false">IMSUM(IMPRODUCT(M738,P737),IMPRODUCT(N738,R737))</f>
        <v>0.999418032925984+0.101658304359057i</v>
      </c>
      <c r="S738" s="10" t="n">
        <f aca="false">IF(B738="mass",D738/E738,H738)</f>
        <v>0</v>
      </c>
      <c r="T738" s="12" t="n">
        <f aca="false">IF(B738="mass",F738*G738*D738,0)</f>
        <v>0</v>
      </c>
    </row>
    <row r="739" customFormat="false" ht="15" hidden="false" customHeight="false" outlineLevel="0" collapsed="false">
      <c r="A739" s="7" t="s">
        <v>47</v>
      </c>
      <c r="B739" s="7" t="str">
        <f aca="false">IF(C739="","none",IF(C739="Cavity","res","mass"))</f>
        <v>none</v>
      </c>
      <c r="C739" s="7" t="str">
        <f aca="false">IF(INDEX(Library!$O$5:$O$34,$U$732)="","",INDEX(Library!$O$5:$O$34,$U$732))</f>
        <v/>
      </c>
      <c r="D739" s="11" t="n">
        <f aca="false">IF(B739="mass",INDEX(Library!$P$5:$P$34,$U$732)/1000,0)</f>
        <v>0</v>
      </c>
      <c r="E739" s="7" t="n">
        <f aca="false">IF(B739="mass",INDEX(Materials!$B$5:$B$28,MATCH(C739,Materials!$A$5:$A$28,0)),0)</f>
        <v>0</v>
      </c>
      <c r="F739" s="7" t="n">
        <f aca="false">IF(B739="mass",INDEX(Materials!$C$5:$C$28,MATCH(C739,Materials!$A$5:$A$28,0)),0)</f>
        <v>0</v>
      </c>
      <c r="G739" s="7" t="n">
        <f aca="false">IF(B739="mass",INDEX(Materials!$D$5:$D$28,MATCH(C739,Materials!$A$5:$A$28,0)),0)</f>
        <v>0</v>
      </c>
      <c r="H739" s="10" t="n">
        <f aca="false">IF(B739="res",INDEX(Library!$P$5:$P$34,$U$732),0)</f>
        <v>0</v>
      </c>
      <c r="I739" s="11" t="n">
        <f aca="false">IF(B739="mass",SQRT(E739*($B$2*3600)/(PI()*F739*G739)),0)</f>
        <v>0</v>
      </c>
      <c r="J739" s="10" t="n">
        <f aca="false">IF(B739="mass",D739/I739,0)</f>
        <v>0</v>
      </c>
      <c r="K739" s="7" t="str">
        <f aca="false">IF(B739="mass",COMPLEX(COSH(J739)*COS(J739),SINH(J739)*SIN(J739)),COMPLEX(1,0))</f>
        <v>1</v>
      </c>
      <c r="L739" s="7" t="str">
        <f aca="false">IF(B739="mass",COMPLEX(-I739/(2*E739)*(SINH(J739)*COS(J739)+COSH(J739)*SIN(J739)),-I739/(2*E739)*(COSH(J739)*SIN(J739)-SINH(J739)*COS(J739))),COMPLEX(-H739,0))</f>
        <v>-0</v>
      </c>
      <c r="M739" s="7" t="str">
        <f aca="false">IF(B739="mass",COMPLEX(-E739/I739*(SINH(J739)*COS(J739)-COSH(J739)*SIN(J739)),-E739/I739*(SINH(J739)*COS(J739)+COSH(J739)*SIN(J739))),COMPLEX(0,0))</f>
        <v>0</v>
      </c>
      <c r="N739" s="7" t="str">
        <f aca="false">K739</f>
        <v>1</v>
      </c>
      <c r="O739" s="7" t="str">
        <f aca="false">IMSUM(IMPRODUCT(K739,O738),IMPRODUCT(L739,Q738))</f>
        <v>0.999578707469714+0.0762058903871856i</v>
      </c>
      <c r="P739" s="7" t="str">
        <f aca="false">IMSUM(IMPRODUCT(K739,P738),IMPRODUCT(L739,R738))</f>
        <v>-0.279462950157139-0.0119869360653008i</v>
      </c>
      <c r="Q739" s="7" t="str">
        <f aca="false">IMSUM(IMPRODUCT(M739,O738),IMPRODUCT(N739,Q738))</f>
        <v>0.00401686359323574-0.636310349296785i</v>
      </c>
      <c r="R739" s="7" t="str">
        <f aca="false">IMSUM(IMPRODUCT(M739,P738),IMPRODUCT(N739,R738))</f>
        <v>0.999418032925984+0.101658304359057i</v>
      </c>
      <c r="S739" s="10" t="n">
        <f aca="false">IF(B739="mass",D739/E739,H739)</f>
        <v>0</v>
      </c>
      <c r="T739" s="12" t="n">
        <f aca="false">IF(B739="mass",F739*G739*D739,0)</f>
        <v>0</v>
      </c>
    </row>
    <row r="740" customFormat="false" ht="15" hidden="false" customHeight="false" outlineLevel="0" collapsed="false">
      <c r="A740" s="7" t="s">
        <v>48</v>
      </c>
      <c r="B740" s="7" t="str">
        <f aca="false">IF(C740="","none",IF(C740="Cavity","res","mass"))</f>
        <v>none</v>
      </c>
      <c r="C740" s="7" t="str">
        <f aca="false">IF(INDEX(Library!$Q$5:$Q$34,$U$732)="","",INDEX(Library!$Q$5:$Q$34,$U$732))</f>
        <v/>
      </c>
      <c r="D740" s="11" t="n">
        <f aca="false">IF(B740="mass",INDEX(Library!$R$5:$R$34,$U$732)/1000,0)</f>
        <v>0</v>
      </c>
      <c r="E740" s="7" t="n">
        <f aca="false">IF(B740="mass",INDEX(Materials!$B$5:$B$28,MATCH(C740,Materials!$A$5:$A$28,0)),0)</f>
        <v>0</v>
      </c>
      <c r="F740" s="7" t="n">
        <f aca="false">IF(B740="mass",INDEX(Materials!$C$5:$C$28,MATCH(C740,Materials!$A$5:$A$28,0)),0)</f>
        <v>0</v>
      </c>
      <c r="G740" s="7" t="n">
        <f aca="false">IF(B740="mass",INDEX(Materials!$D$5:$D$28,MATCH(C740,Materials!$A$5:$A$28,0)),0)</f>
        <v>0</v>
      </c>
      <c r="H740" s="10" t="n">
        <f aca="false">IF(B740="res",INDEX(Library!$R$5:$R$34,$U$732),0)</f>
        <v>0</v>
      </c>
      <c r="I740" s="11" t="n">
        <f aca="false">IF(B740="mass",SQRT(E740*($B$2*3600)/(PI()*F740*G740)),0)</f>
        <v>0</v>
      </c>
      <c r="J740" s="10" t="n">
        <f aca="false">IF(B740="mass",D740/I740,0)</f>
        <v>0</v>
      </c>
      <c r="K740" s="7" t="str">
        <f aca="false">IF(B740="mass",COMPLEX(COSH(J740)*COS(J740),SINH(J740)*SIN(J740)),COMPLEX(1,0))</f>
        <v>1</v>
      </c>
      <c r="L740" s="7" t="str">
        <f aca="false">IF(B740="mass",COMPLEX(-I740/(2*E740)*(SINH(J740)*COS(J740)+COSH(J740)*SIN(J740)),-I740/(2*E740)*(COSH(J740)*SIN(J740)-SINH(J740)*COS(J740))),COMPLEX(-H740,0))</f>
        <v>-0</v>
      </c>
      <c r="M740" s="7" t="str">
        <f aca="false">IF(B740="mass",COMPLEX(-E740/I740*(SINH(J740)*COS(J740)-COSH(J740)*SIN(J740)),-E740/I740*(SINH(J740)*COS(J740)+COSH(J740)*SIN(J740))),COMPLEX(0,0))</f>
        <v>0</v>
      </c>
      <c r="N740" s="7" t="str">
        <f aca="false">K740</f>
        <v>1</v>
      </c>
      <c r="O740" s="7" t="str">
        <f aca="false">IMSUM(IMPRODUCT(K740,O739),IMPRODUCT(L740,Q739))</f>
        <v>0.999578707469714+0.0762058903871856i</v>
      </c>
      <c r="P740" s="7" t="str">
        <f aca="false">IMSUM(IMPRODUCT(K740,P739),IMPRODUCT(L740,R739))</f>
        <v>-0.279462950157139-0.0119869360653008i</v>
      </c>
      <c r="Q740" s="7" t="str">
        <f aca="false">IMSUM(IMPRODUCT(M740,O739),IMPRODUCT(N740,Q739))</f>
        <v>0.00401686359323574-0.636310349296785i</v>
      </c>
      <c r="R740" s="7" t="str">
        <f aca="false">IMSUM(IMPRODUCT(M740,P739),IMPRODUCT(N740,R739))</f>
        <v>0.999418032925984+0.101658304359057i</v>
      </c>
      <c r="S740" s="10" t="n">
        <f aca="false">IF(B740="mass",D740/E740,H740)</f>
        <v>0</v>
      </c>
      <c r="T740" s="12" t="n">
        <f aca="false">IF(B740="mass",F740*G740*D740,0)</f>
        <v>0</v>
      </c>
    </row>
    <row r="741" customFormat="false" ht="15" hidden="false" customHeight="false" outlineLevel="0" collapsed="false">
      <c r="A741" s="7" t="s">
        <v>49</v>
      </c>
      <c r="B741" s="7" t="str">
        <f aca="false">IF(C741="","none",IF(C741="Cavity","res","mass"))</f>
        <v>none</v>
      </c>
      <c r="C741" s="7" t="str">
        <f aca="false">IF(INDEX(Library!$S$5:$S$34,$U$732)="","",INDEX(Library!$S$5:$S$34,$U$732))</f>
        <v/>
      </c>
      <c r="D741" s="11" t="n">
        <f aca="false">IF(B741="mass",INDEX(Library!$T$5:$T$34,$U$732)/1000,0)</f>
        <v>0</v>
      </c>
      <c r="E741" s="7" t="n">
        <f aca="false">IF(B741="mass",INDEX(Materials!$B$5:$B$28,MATCH(C741,Materials!$A$5:$A$28,0)),0)</f>
        <v>0</v>
      </c>
      <c r="F741" s="7" t="n">
        <f aca="false">IF(B741="mass",INDEX(Materials!$C$5:$C$28,MATCH(C741,Materials!$A$5:$A$28,0)),0)</f>
        <v>0</v>
      </c>
      <c r="G741" s="7" t="n">
        <f aca="false">IF(B741="mass",INDEX(Materials!$D$5:$D$28,MATCH(C741,Materials!$A$5:$A$28,0)),0)</f>
        <v>0</v>
      </c>
      <c r="H741" s="10" t="n">
        <f aca="false">IF(B741="res",INDEX(Library!$T$5:$T$34,$U$732),0)</f>
        <v>0</v>
      </c>
      <c r="I741" s="11" t="n">
        <f aca="false">IF(B741="mass",SQRT(E741*($B$2*3600)/(PI()*F741*G741)),0)</f>
        <v>0</v>
      </c>
      <c r="J741" s="10" t="n">
        <f aca="false">IF(B741="mass",D741/I741,0)</f>
        <v>0</v>
      </c>
      <c r="K741" s="7" t="str">
        <f aca="false">IF(B741="mass",COMPLEX(COSH(J741)*COS(J741),SINH(J741)*SIN(J741)),COMPLEX(1,0))</f>
        <v>1</v>
      </c>
      <c r="L741" s="7" t="str">
        <f aca="false">IF(B741="mass",COMPLEX(-I741/(2*E741)*(SINH(J741)*COS(J741)+COSH(J741)*SIN(J741)),-I741/(2*E741)*(COSH(J741)*SIN(J741)-SINH(J741)*COS(J741))),COMPLEX(-H741,0))</f>
        <v>-0</v>
      </c>
      <c r="M741" s="7" t="str">
        <f aca="false">IF(B741="mass",COMPLEX(-E741/I741*(SINH(J741)*COS(J741)-COSH(J741)*SIN(J741)),-E741/I741*(SINH(J741)*COS(J741)+COSH(J741)*SIN(J741))),COMPLEX(0,0))</f>
        <v>0</v>
      </c>
      <c r="N741" s="7" t="str">
        <f aca="false">K741</f>
        <v>1</v>
      </c>
      <c r="O741" s="7" t="str">
        <f aca="false">IMSUM(IMPRODUCT(K741,O740),IMPRODUCT(L741,Q740))</f>
        <v>0.999578707469714+0.0762058903871856i</v>
      </c>
      <c r="P741" s="7" t="str">
        <f aca="false">IMSUM(IMPRODUCT(K741,P740),IMPRODUCT(L741,R740))</f>
        <v>-0.279462950157139-0.0119869360653008i</v>
      </c>
      <c r="Q741" s="7" t="str">
        <f aca="false">IMSUM(IMPRODUCT(M741,O740),IMPRODUCT(N741,Q740))</f>
        <v>0.00401686359323574-0.636310349296785i</v>
      </c>
      <c r="R741" s="7" t="str">
        <f aca="false">IMSUM(IMPRODUCT(M741,P740),IMPRODUCT(N741,R740))</f>
        <v>0.999418032925984+0.101658304359057i</v>
      </c>
      <c r="S741" s="10" t="n">
        <f aca="false">IF(B741="mass",D741/E741,H741)</f>
        <v>0</v>
      </c>
      <c r="T741" s="12" t="n">
        <f aca="false">IF(B741="mass",F741*G741*D741,0)</f>
        <v>0</v>
      </c>
    </row>
    <row r="742" customFormat="false" ht="15" hidden="false" customHeight="false" outlineLevel="0" collapsed="false">
      <c r="A742" s="7" t="s">
        <v>50</v>
      </c>
      <c r="B742" s="7" t="str">
        <f aca="false">IF(C742="","none",IF(C742="Cavity","res","mass"))</f>
        <v>none</v>
      </c>
      <c r="C742" s="7" t="str">
        <f aca="false">IF(INDEX(Library!$U$5:$U$34,$U$732)="","",INDEX(Library!$U$5:$U$34,$U$732))</f>
        <v/>
      </c>
      <c r="D742" s="11" t="n">
        <f aca="false">IF(B742="mass",INDEX(Library!$V$5:$V$34,$U$732)/1000,0)</f>
        <v>0</v>
      </c>
      <c r="E742" s="7" t="n">
        <f aca="false">IF(B742="mass",INDEX(Materials!$B$5:$B$28,MATCH(C742,Materials!$A$5:$A$28,0)),0)</f>
        <v>0</v>
      </c>
      <c r="F742" s="7" t="n">
        <f aca="false">IF(B742="mass",INDEX(Materials!$C$5:$C$28,MATCH(C742,Materials!$A$5:$A$28,0)),0)</f>
        <v>0</v>
      </c>
      <c r="G742" s="7" t="n">
        <f aca="false">IF(B742="mass",INDEX(Materials!$D$5:$D$28,MATCH(C742,Materials!$A$5:$A$28,0)),0)</f>
        <v>0</v>
      </c>
      <c r="H742" s="10" t="n">
        <f aca="false">IF(B742="res",INDEX(Library!$V$5:$V$34,$U$732),0)</f>
        <v>0</v>
      </c>
      <c r="I742" s="11" t="n">
        <f aca="false">IF(B742="mass",SQRT(E742*($B$2*3600)/(PI()*F742*G742)),0)</f>
        <v>0</v>
      </c>
      <c r="J742" s="10" t="n">
        <f aca="false">IF(B742="mass",D742/I742,0)</f>
        <v>0</v>
      </c>
      <c r="K742" s="7" t="str">
        <f aca="false">IF(B742="mass",COMPLEX(COSH(J742)*COS(J742),SINH(J742)*SIN(J742)),COMPLEX(1,0))</f>
        <v>1</v>
      </c>
      <c r="L742" s="7" t="str">
        <f aca="false">IF(B742="mass",COMPLEX(-I742/(2*E742)*(SINH(J742)*COS(J742)+COSH(J742)*SIN(J742)),-I742/(2*E742)*(COSH(J742)*SIN(J742)-SINH(J742)*COS(J742))),COMPLEX(-H742,0))</f>
        <v>-0</v>
      </c>
      <c r="M742" s="7" t="str">
        <f aca="false">IF(B742="mass",COMPLEX(-E742/I742*(SINH(J742)*COS(J742)-COSH(J742)*SIN(J742)),-E742/I742*(SINH(J742)*COS(J742)+COSH(J742)*SIN(J742))),COMPLEX(0,0))</f>
        <v>0</v>
      </c>
      <c r="N742" s="7" t="str">
        <f aca="false">K742</f>
        <v>1</v>
      </c>
      <c r="O742" s="7" t="str">
        <f aca="false">IMSUM(IMPRODUCT(K742,O741),IMPRODUCT(L742,Q741))</f>
        <v>0.999578707469714+0.0762058903871856i</v>
      </c>
      <c r="P742" s="7" t="str">
        <f aca="false">IMSUM(IMPRODUCT(K742,P741),IMPRODUCT(L742,R741))</f>
        <v>-0.279462950157139-0.0119869360653008i</v>
      </c>
      <c r="Q742" s="7" t="str">
        <f aca="false">IMSUM(IMPRODUCT(M742,O741),IMPRODUCT(N742,Q741))</f>
        <v>0.00401686359323574-0.636310349296785i</v>
      </c>
      <c r="R742" s="7" t="str">
        <f aca="false">IMSUM(IMPRODUCT(M742,P741),IMPRODUCT(N742,R741))</f>
        <v>0.999418032925984+0.101658304359057i</v>
      </c>
      <c r="S742" s="10" t="n">
        <f aca="false">IF(B742="mass",D742/E742,H742)</f>
        <v>0</v>
      </c>
      <c r="T742" s="12" t="n">
        <f aca="false">IF(B742="mass",F742*G742*D742,0)</f>
        <v>0</v>
      </c>
    </row>
    <row r="743" customFormat="false" ht="15" hidden="false" customHeight="false" outlineLevel="0" collapsed="false">
      <c r="A743" s="7" t="s">
        <v>51</v>
      </c>
      <c r="B743" s="7" t="str">
        <f aca="false">IF($W$732="ground","mass",IF($W$732="adiabatic","res","none"))</f>
        <v>res</v>
      </c>
      <c r="C743" s="7" t="str">
        <f aca="false">IF($W$732="ground","clay soil","")</f>
        <v/>
      </c>
      <c r="D743" s="11" t="n">
        <f aca="false">IF(B743="mass",1,0)</f>
        <v>0</v>
      </c>
      <c r="E743" s="7" t="n">
        <f aca="false">IF(B743="mass",INDEX(Materials!$B$5:$B$28,MATCH(C743,Materials!$A$5:$A$28,0)),0)</f>
        <v>0</v>
      </c>
      <c r="F743" s="7" t="n">
        <f aca="false">IF(B743="mass",INDEX(Materials!$C$5:$C$28,MATCH(C743,Materials!$A$5:$A$28,0)),0)</f>
        <v>0</v>
      </c>
      <c r="G743" s="7" t="n">
        <f aca="false">IF(B743="mass",INDEX(Materials!$D$5:$D$28,MATCH(C743,Materials!$A$5:$A$28,0)),0)</f>
        <v>0</v>
      </c>
      <c r="H743" s="12" t="n">
        <f aca="false">IF(B743="res",1000000,0)</f>
        <v>1000000</v>
      </c>
      <c r="I743" s="11" t="n">
        <f aca="false">IF(B743="mass",SQRT(E743*($B$2*3600)/(PI()*F743*G743)),0)</f>
        <v>0</v>
      </c>
      <c r="J743" s="10" t="n">
        <f aca="false">IF(B743="mass",D743/I743,0)</f>
        <v>0</v>
      </c>
      <c r="K743" s="7" t="str">
        <f aca="false">IF(B743="mass",COMPLEX(COSH(J743)*COS(J743),SINH(J743)*SIN(J743)),COMPLEX(1,0))</f>
        <v>1</v>
      </c>
      <c r="L743" s="7" t="str">
        <f aca="false">IF(B743="mass",COMPLEX(-I743/(2*E743)*(SINH(J743)*COS(J743)+COSH(J743)*SIN(J743)),-I743/(2*E743)*(COSH(J743)*SIN(J743)-SINH(J743)*COS(J743))),COMPLEX(-H743,0))</f>
        <v>-1000000</v>
      </c>
      <c r="M743" s="7" t="str">
        <f aca="false">IF(B743="mass",COMPLEX(-E743/I743*(SINH(J743)*COS(J743)-COSH(J743)*SIN(J743)),-E743/I743*(SINH(J743)*COS(J743)+COSH(J743)*SIN(J743))),COMPLEX(0,0))</f>
        <v>0</v>
      </c>
      <c r="N743" s="7" t="str">
        <f aca="false">K743</f>
        <v>1</v>
      </c>
      <c r="O743" s="7" t="str">
        <f aca="false">IMSUM(IMPRODUCT(K743,O742),IMPRODUCT(L743,Q742))</f>
        <v>-4015.86401452827+636310.425502675i</v>
      </c>
      <c r="P743" s="7" t="str">
        <f aca="false">IMSUM(IMPRODUCT(K743,P742),IMPRODUCT(L743,R742))</f>
        <v>-999418.312388934-101658.316345993i</v>
      </c>
      <c r="Q743" s="7" t="str">
        <f aca="false">IMSUM(IMPRODUCT(M743,O742),IMPRODUCT(N743,Q742))</f>
        <v>0.00401686359323574-0.636310349296785i</v>
      </c>
      <c r="R743" s="7" t="str">
        <f aca="false">IMSUM(IMPRODUCT(M743,P742),IMPRODUCT(N743,R742))</f>
        <v>0.999418032925984+0.101658304359057i</v>
      </c>
      <c r="S743" s="10" t="n">
        <f aca="false">IF(B743="mass",D743/E743,H743)</f>
        <v>1000000</v>
      </c>
      <c r="T743" s="12" t="n">
        <f aca="false">IF(B743="mass",F743*G743*D743,0)</f>
        <v>0</v>
      </c>
    </row>
    <row r="744" customFormat="false" ht="15" hidden="false" customHeight="false" outlineLevel="0" collapsed="false">
      <c r="A744" s="7" t="s">
        <v>52</v>
      </c>
      <c r="B744" s="7" t="s">
        <v>42</v>
      </c>
      <c r="H744" s="10" t="n">
        <f aca="false">IF($W$732="ext",0.04,IF($W$732="room",$Y$732,0))</f>
        <v>0</v>
      </c>
      <c r="I744" s="11" t="n">
        <f aca="false">IF(B744="mass",SQRT(E744*($B$2*3600)/(PI()*F744*G744)),0)</f>
        <v>0</v>
      </c>
      <c r="J744" s="10" t="n">
        <f aca="false">IF(B744="mass",D744/I744,0)</f>
        <v>0</v>
      </c>
      <c r="K744" s="7" t="str">
        <f aca="false">IF(B744="mass",COMPLEX(COSH(J744)*COS(J744),SINH(J744)*SIN(J744)),COMPLEX(1,0))</f>
        <v>1</v>
      </c>
      <c r="L744" s="7" t="str">
        <f aca="false">IF(B744="mass",COMPLEX(-I744/(2*E744)*(SINH(J744)*COS(J744)+COSH(J744)*SIN(J744)),-I744/(2*E744)*(COSH(J744)*SIN(J744)-SINH(J744)*COS(J744))),COMPLEX(-H744,0))</f>
        <v>-0</v>
      </c>
      <c r="M744" s="7" t="str">
        <f aca="false">IF(B744="mass",COMPLEX(-E744/I744*(SINH(J744)*COS(J744)-COSH(J744)*SIN(J744)),-E744/I744*(SINH(J744)*COS(J744)+COSH(J744)*SIN(J744))),COMPLEX(0,0))</f>
        <v>0</v>
      </c>
      <c r="N744" s="7" t="str">
        <f aca="false">K744</f>
        <v>1</v>
      </c>
      <c r="O744" s="7" t="str">
        <f aca="false">IMSUM(IMPRODUCT(K744,O743),IMPRODUCT(L744,Q743))</f>
        <v>-4015.86401452827+636310.425502675i</v>
      </c>
      <c r="P744" s="7" t="str">
        <f aca="false">IMSUM(IMPRODUCT(K744,P743),IMPRODUCT(L744,R743))</f>
        <v>-999418.312388934-101658.316345993i</v>
      </c>
      <c r="Q744" s="7" t="str">
        <f aca="false">IMSUM(IMPRODUCT(M744,O743),IMPRODUCT(N744,Q743))</f>
        <v>0.00401686359323574-0.636310349296785i</v>
      </c>
      <c r="R744" s="7" t="str">
        <f aca="false">IMSUM(IMPRODUCT(M744,P743),IMPRODUCT(N744,R743))</f>
        <v>0.999418032925984+0.101658304359057i</v>
      </c>
      <c r="S744" s="10" t="n">
        <f aca="false">IF(B744="mass",D744/E744,H744)</f>
        <v>0</v>
      </c>
      <c r="T744" s="12" t="n">
        <f aca="false">IF(B744="mass",F744*G744*D744,0)</f>
        <v>0</v>
      </c>
    </row>
    <row r="745" customFormat="false" ht="15" hidden="false" customHeight="false" outlineLevel="0" collapsed="false">
      <c r="A745" s="9" t="s">
        <v>53</v>
      </c>
      <c r="B745" s="13" t="str">
        <f aca="false">IF(OR($W$732="ext",$W$732="ground"),1/SUM(S734:S744),"–")</f>
        <v>–</v>
      </c>
      <c r="C745" s="9" t="s">
        <v>54</v>
      </c>
      <c r="D745" s="13" t="n">
        <f aca="false">IMABS(IMDIV(IMPRODUCT(O744,COMPLEX(-1,0)),P744))</f>
        <v>0.63342503768563</v>
      </c>
      <c r="E745" s="9" t="s">
        <v>55</v>
      </c>
      <c r="F745" s="14" t="n">
        <f aca="false">IMARGUMENT(IMDIV(IMPRODUCT(O744,COMPLEX(-1,0)),P744))*$B$2/(2*PI())</f>
        <v>5.63690612682792</v>
      </c>
      <c r="G745" s="9" t="s">
        <v>56</v>
      </c>
      <c r="H745" s="13" t="str">
        <f aca="false">IF($W$732="ext",IMABS(IMDIV(COMPLEX(-1,0),P744))*SUM(S734:S744),"–")</f>
        <v>–</v>
      </c>
      <c r="I745" s="9" t="s">
        <v>57</v>
      </c>
      <c r="J745" s="14" t="str">
        <f aca="false">IF($W$732="ext",MOD(-IMARGUMENT(IMDIV(COMPLEX(-1,0),P744))*$B$2/(2*PI()),24),"–")</f>
        <v>–</v>
      </c>
      <c r="K745" s="9" t="s">
        <v>58</v>
      </c>
      <c r="L745" s="15" t="n">
        <f aca="false">($B$2*3600)/(2*PI())*IMABS(IMDIV(IMSUB(O744,COMPLEX(1,0)),P744))/1000</f>
        <v>8.71021959775104</v>
      </c>
      <c r="M745" s="9" t="s">
        <v>59</v>
      </c>
      <c r="N745" s="15" t="n">
        <f aca="false">SUM(T735:T742)/1000</f>
        <v>8.75</v>
      </c>
      <c r="O745" s="9" t="s">
        <v>60</v>
      </c>
      <c r="P745" s="16" t="n">
        <f aca="false">SUM(S735:S742)</f>
        <v>0.14952380952381</v>
      </c>
    </row>
    <row r="747" customFormat="false" ht="15" hidden="false" customHeight="false" outlineLevel="0" collapsed="false">
      <c r="A747" s="4" t="s">
        <v>140</v>
      </c>
    </row>
    <row r="748" customFormat="false" ht="15" hidden="false" customHeight="false" outlineLevel="0" collapsed="false">
      <c r="A748" s="9"/>
      <c r="B748" s="9" t="s">
        <v>62</v>
      </c>
      <c r="C748" s="9" t="s">
        <v>63</v>
      </c>
      <c r="D748" s="9"/>
      <c r="E748" s="9"/>
      <c r="F748" s="9"/>
      <c r="G748" s="9"/>
      <c r="H748" s="9"/>
      <c r="I748" s="9"/>
      <c r="J748" s="9"/>
      <c r="K748" s="9" t="s">
        <v>32</v>
      </c>
      <c r="L748" s="9" t="s">
        <v>33</v>
      </c>
      <c r="M748" s="9" t="s">
        <v>34</v>
      </c>
      <c r="N748" s="9" t="s">
        <v>35</v>
      </c>
      <c r="O748" s="9" t="s">
        <v>36</v>
      </c>
      <c r="P748" s="9" t="s">
        <v>37</v>
      </c>
      <c r="Q748" s="9" t="s">
        <v>38</v>
      </c>
      <c r="R748" s="9" t="s">
        <v>39</v>
      </c>
    </row>
    <row r="749" customFormat="false" ht="15" hidden="false" customHeight="false" outlineLevel="0" collapsed="false">
      <c r="A749" s="7" t="s">
        <v>22</v>
      </c>
      <c r="B749" s="7" t="s">
        <v>42</v>
      </c>
      <c r="C749" s="10" t="n">
        <f aca="false">$Y$732</f>
        <v>0.13</v>
      </c>
      <c r="K749" s="7" t="str">
        <f aca="false">COMPLEX(1,0)</f>
        <v>1</v>
      </c>
      <c r="L749" s="7" t="str">
        <f aca="false">COMPLEX(-C749,0)</f>
        <v>-0.13</v>
      </c>
      <c r="M749" s="7" t="str">
        <f aca="false">COMPLEX(0,0)</f>
        <v>0</v>
      </c>
      <c r="N749" s="7" t="str">
        <f aca="false">COMPLEX(1,0)</f>
        <v>1</v>
      </c>
      <c r="O749" s="7" t="str">
        <f aca="false">K749</f>
        <v>1</v>
      </c>
      <c r="P749" s="7" t="str">
        <f aca="false">L749</f>
        <v>-0.13</v>
      </c>
      <c r="Q749" s="7" t="str">
        <f aca="false">M749</f>
        <v>0</v>
      </c>
      <c r="R749" s="7" t="str">
        <f aca="false">N749</f>
        <v>1</v>
      </c>
    </row>
    <row r="750" customFormat="false" ht="15" hidden="false" customHeight="false" outlineLevel="0" collapsed="false">
      <c r="A750" s="7" t="s">
        <v>64</v>
      </c>
      <c r="B750" s="7" t="s">
        <v>65</v>
      </c>
      <c r="C750" s="10" t="n">
        <f aca="false">INDEX(Classes!$B$5:$F$9,MATCH(Engine!$C$731,Classes!$A$5:$A$9,0),5)*(N745*1000)</f>
        <v>1093.75</v>
      </c>
      <c r="K750" s="7" t="str">
        <f aca="false">COMPLEX(1,0)</f>
        <v>1</v>
      </c>
      <c r="L750" s="7" t="str">
        <f aca="false">COMPLEX(0,0)</f>
        <v>0</v>
      </c>
      <c r="M750" s="7" t="str">
        <f aca="false">COMPLEX(0,-(2*PI()/($B$2*3600))*C750)</f>
        <v>-0.0795397445570332i</v>
      </c>
      <c r="N750" s="7" t="str">
        <f aca="false">COMPLEX(1,0)</f>
        <v>1</v>
      </c>
      <c r="O750" s="7" t="str">
        <f aca="false">IMSUM(IMPRODUCT(K750,O749),IMPRODUCT(L750,Q749))</f>
        <v>1</v>
      </c>
      <c r="P750" s="7" t="str">
        <f aca="false">IMSUM(IMPRODUCT(K750,P749),IMPRODUCT(L750,R749))</f>
        <v>-0.13</v>
      </c>
      <c r="Q750" s="7" t="str">
        <f aca="false">IMSUM(IMPRODUCT(M750,O749),IMPRODUCT(N750,Q749))</f>
        <v>-0.0795397445570332i</v>
      </c>
      <c r="R750" s="7" t="str">
        <f aca="false">IMSUM(IMPRODUCT(M750,P749),IMPRODUCT(N750,R749))</f>
        <v>1+0.0103401667924143i</v>
      </c>
    </row>
    <row r="751" customFormat="false" ht="15" hidden="false" customHeight="false" outlineLevel="0" collapsed="false">
      <c r="A751" s="7" t="s">
        <v>66</v>
      </c>
      <c r="B751" s="7" t="s">
        <v>42</v>
      </c>
      <c r="C751" s="10" t="n">
        <f aca="false">P745/6</f>
        <v>0.0249206349206349</v>
      </c>
      <c r="K751" s="7" t="str">
        <f aca="false">COMPLEX(1,0)</f>
        <v>1</v>
      </c>
      <c r="L751" s="7" t="str">
        <f aca="false">COMPLEX(-C751,0)</f>
        <v>-0.0249206349206349</v>
      </c>
      <c r="M751" s="7" t="str">
        <f aca="false">COMPLEX(0,0)</f>
        <v>0</v>
      </c>
      <c r="N751" s="7" t="str">
        <f aca="false">COMPLEX(1,0)</f>
        <v>1</v>
      </c>
      <c r="O751" s="7" t="str">
        <f aca="false">IMSUM(IMPRODUCT(K751,O750),IMPRODUCT(L751,Q750))</f>
        <v>1+0.00198218093578638i</v>
      </c>
      <c r="P751" s="7" t="str">
        <f aca="false">IMSUM(IMPRODUCT(K751,P750),IMPRODUCT(L751,R750))</f>
        <v>-0.154920634920635-0.00025768352165222i</v>
      </c>
      <c r="Q751" s="7" t="str">
        <f aca="false">IMSUM(IMPRODUCT(M751,O750),IMPRODUCT(N751,Q750))</f>
        <v>-0.0795397445570332i</v>
      </c>
      <c r="R751" s="7" t="str">
        <f aca="false">IMSUM(IMPRODUCT(M751,P750),IMPRODUCT(N751,R750))</f>
        <v>1+0.0103401667924143i</v>
      </c>
    </row>
    <row r="752" customFormat="false" ht="15" hidden="false" customHeight="false" outlineLevel="0" collapsed="false">
      <c r="A752" s="7" t="s">
        <v>67</v>
      </c>
      <c r="B752" s="7" t="s">
        <v>65</v>
      </c>
      <c r="C752" s="10" t="n">
        <f aca="false">INDEX(Classes!$B$5:$F$9,MATCH(Engine!$C$731,Classes!$A$5:$A$9,0),4)*(N745*1000)</f>
        <v>2187.5</v>
      </c>
      <c r="K752" s="7" t="str">
        <f aca="false">COMPLEX(1,0)</f>
        <v>1</v>
      </c>
      <c r="L752" s="7" t="str">
        <f aca="false">COMPLEX(0,0)</f>
        <v>0</v>
      </c>
      <c r="M752" s="7" t="str">
        <f aca="false">COMPLEX(0,-(2*PI()/($B$2*3600))*C752)</f>
        <v>-0.159079489114066i</v>
      </c>
      <c r="N752" s="7" t="str">
        <f aca="false">COMPLEX(1,0)</f>
        <v>1</v>
      </c>
      <c r="O752" s="7" t="str">
        <f aca="false">IMSUM(IMPRODUCT(K752,O751),IMPRODUCT(L752,Q751))</f>
        <v>1+0.00198218093578638i</v>
      </c>
      <c r="P752" s="7" t="str">
        <f aca="false">IMSUM(IMPRODUCT(K752,P751),IMPRODUCT(L752,R751))</f>
        <v>-0.154920634920635-0.00025768352165222i</v>
      </c>
      <c r="Q752" s="7" t="str">
        <f aca="false">IMSUM(IMPRODUCT(M752,O751),IMPRODUCT(N752,Q751))</f>
        <v>0.00031532433059653-0.238619233671099i</v>
      </c>
      <c r="R752" s="7" t="str">
        <f aca="false">IMSUM(IMPRODUCT(M752,P751),IMPRODUCT(N752,R751))</f>
        <v>0.999959007837022+0.0349848622488157i</v>
      </c>
    </row>
    <row r="753" customFormat="false" ht="15" hidden="false" customHeight="false" outlineLevel="0" collapsed="false">
      <c r="A753" s="7" t="s">
        <v>68</v>
      </c>
      <c r="B753" s="7" t="s">
        <v>42</v>
      </c>
      <c r="C753" s="10" t="n">
        <f aca="false">P745/3</f>
        <v>0.0498412698412698</v>
      </c>
      <c r="K753" s="7" t="str">
        <f aca="false">COMPLEX(1,0)</f>
        <v>1</v>
      </c>
      <c r="L753" s="7" t="str">
        <f aca="false">COMPLEX(-C753,0)</f>
        <v>-0.0498412698412698</v>
      </c>
      <c r="M753" s="7" t="str">
        <f aca="false">COMPLEX(0,0)</f>
        <v>0</v>
      </c>
      <c r="N753" s="7" t="str">
        <f aca="false">COMPLEX(1,0)</f>
        <v>1</v>
      </c>
      <c r="O753" s="7" t="str">
        <f aca="false">IMSUM(IMPRODUCT(K753,O752),IMPRODUCT(L753,Q752))</f>
        <v>0.999984283834951+0.0138752665505047i</v>
      </c>
      <c r="P753" s="7" t="str">
        <f aca="false">IMSUM(IMPRODUCT(K753,P752),IMPRODUCT(L753,R752))</f>
        <v>-0.204759861660448-0.0020013734813551i</v>
      </c>
      <c r="Q753" s="7" t="str">
        <f aca="false">IMSUM(IMPRODUCT(M753,O752),IMPRODUCT(N753,Q752))</f>
        <v>0.00031532433059653-0.238619233671099i</v>
      </c>
      <c r="R753" s="7" t="str">
        <f aca="false">IMSUM(IMPRODUCT(M753,P752),IMPRODUCT(N753,R752))</f>
        <v>0.999959007837022+0.0349848622488157i</v>
      </c>
    </row>
    <row r="754" customFormat="false" ht="15" hidden="false" customHeight="false" outlineLevel="0" collapsed="false">
      <c r="A754" s="7" t="s">
        <v>69</v>
      </c>
      <c r="B754" s="7" t="s">
        <v>65</v>
      </c>
      <c r="C754" s="10" t="n">
        <f aca="false">INDEX(Classes!$B$5:$F$9,MATCH(Engine!$C$731,Classes!$A$5:$A$9,0),3)*(N745*1000)</f>
        <v>2187.5</v>
      </c>
      <c r="K754" s="7" t="str">
        <f aca="false">COMPLEX(1,0)</f>
        <v>1</v>
      </c>
      <c r="L754" s="7" t="str">
        <f aca="false">COMPLEX(0,0)</f>
        <v>0</v>
      </c>
      <c r="M754" s="7" t="str">
        <f aca="false">COMPLEX(0,-(2*PI()/($B$2*3600))*C754)</f>
        <v>-0.159079489114066i</v>
      </c>
      <c r="N754" s="7" t="str">
        <f aca="false">COMPLEX(1,0)</f>
        <v>1</v>
      </c>
      <c r="O754" s="7" t="str">
        <f aca="false">IMSUM(IMPRODUCT(K754,O753),IMPRODUCT(L754,Q753))</f>
        <v>0.999984283834951+0.0138752665505047i</v>
      </c>
      <c r="P754" s="7" t="str">
        <f aca="false">IMSUM(IMPRODUCT(K754,P753),IMPRODUCT(L754,R753))</f>
        <v>-0.204759861660448-0.0020013734813551i</v>
      </c>
      <c r="Q754" s="7" t="str">
        <f aca="false">IMSUM(IMPRODUCT(M754,O753),IMPRODUCT(N754,Q753))</f>
        <v>0.00252259464477231-0.397696222665658i</v>
      </c>
      <c r="R754" s="7" t="str">
        <f aca="false">IMSUM(IMPRODUCT(M754,P753),IMPRODUCT(N754,R753))</f>
        <v>0.999640630366082+0.0675579564328266i</v>
      </c>
    </row>
    <row r="755" customFormat="false" ht="15" hidden="false" customHeight="false" outlineLevel="0" collapsed="false">
      <c r="A755" s="7" t="s">
        <v>68</v>
      </c>
      <c r="B755" s="7" t="s">
        <v>42</v>
      </c>
      <c r="C755" s="10" t="n">
        <f aca="false">P745/3</f>
        <v>0.0498412698412698</v>
      </c>
      <c r="K755" s="7" t="str">
        <f aca="false">COMPLEX(1,0)</f>
        <v>1</v>
      </c>
      <c r="L755" s="7" t="str">
        <f aca="false">COMPLEX(-C755,0)</f>
        <v>-0.0498412698412698</v>
      </c>
      <c r="M755" s="7" t="str">
        <f aca="false">COMPLEX(0,0)</f>
        <v>0</v>
      </c>
      <c r="N755" s="7" t="str">
        <f aca="false">COMPLEX(1,0)</f>
        <v>1</v>
      </c>
      <c r="O755" s="7" t="str">
        <f aca="false">IMSUM(IMPRODUCT(K755,O754),IMPRODUCT(L755,Q754))</f>
        <v>0.999858554514561+0.0336969512992375i</v>
      </c>
      <c r="P755" s="7" t="str">
        <f aca="false">IMSUM(IMPRODUCT(K755,P754),IMPRODUCT(L755,R754))</f>
        <v>-0.254583220062821-0.00536854781784836i</v>
      </c>
      <c r="Q755" s="7" t="str">
        <f aca="false">IMSUM(IMPRODUCT(M755,O754),IMPRODUCT(N755,Q754))</f>
        <v>0.00252259464477231-0.397696222665658i</v>
      </c>
      <c r="R755" s="7" t="str">
        <f aca="false">IMSUM(IMPRODUCT(M755,P754),IMPRODUCT(N755,R754))</f>
        <v>0.999640630366082+0.0675579564328266i</v>
      </c>
    </row>
    <row r="756" customFormat="false" ht="15" hidden="false" customHeight="false" outlineLevel="0" collapsed="false">
      <c r="A756" s="7" t="s">
        <v>70</v>
      </c>
      <c r="B756" s="7" t="s">
        <v>65</v>
      </c>
      <c r="C756" s="10" t="n">
        <f aca="false">INDEX(Classes!$B$5:$F$9,MATCH(Engine!$C$731,Classes!$A$5:$A$9,0),2)*(N745*1000)</f>
        <v>2187.5</v>
      </c>
      <c r="K756" s="7" t="str">
        <f aca="false">COMPLEX(1,0)</f>
        <v>1</v>
      </c>
      <c r="L756" s="7" t="str">
        <f aca="false">COMPLEX(0,0)</f>
        <v>0</v>
      </c>
      <c r="M756" s="7" t="str">
        <f aca="false">COMPLEX(0,-(2*PI()/($B$2*3600))*C756)</f>
        <v>-0.159079489114066i</v>
      </c>
      <c r="N756" s="7" t="str">
        <f aca="false">COMPLEX(1,0)</f>
        <v>1</v>
      </c>
      <c r="O756" s="7" t="str">
        <f aca="false">IMSUM(IMPRODUCT(K756,O755),IMPRODUCT(L756,Q755))</f>
        <v>0.999858554514561+0.0336969512992375i</v>
      </c>
      <c r="P756" s="7" t="str">
        <f aca="false">IMSUM(IMPRODUCT(K756,P755),IMPRODUCT(L756,R755))</f>
        <v>-0.254583220062821-0.00536854781784836i</v>
      </c>
      <c r="Q756" s="7" t="str">
        <f aca="false">IMSUM(IMPRODUCT(M756,O755),IMPRODUCT(N756,Q755))</f>
        <v>0.00788308844215658-0.556753210704163i</v>
      </c>
      <c r="R756" s="7" t="str">
        <f aca="false">IMSUM(IMPRODUCT(M756,P755),IMPRODUCT(N756,R755))</f>
        <v>0.998786604521934+0.108056925017434i</v>
      </c>
    </row>
    <row r="757" customFormat="false" ht="15" hidden="false" customHeight="false" outlineLevel="0" collapsed="false">
      <c r="A757" s="7" t="s">
        <v>66</v>
      </c>
      <c r="B757" s="7" t="s">
        <v>42</v>
      </c>
      <c r="C757" s="10" t="n">
        <f aca="false">P745/6</f>
        <v>0.0249206349206349</v>
      </c>
      <c r="K757" s="7" t="str">
        <f aca="false">COMPLEX(1,0)</f>
        <v>1</v>
      </c>
      <c r="L757" s="7" t="str">
        <f aca="false">COMPLEX(-C757,0)</f>
        <v>-0.0249206349206349</v>
      </c>
      <c r="M757" s="7" t="str">
        <f aca="false">COMPLEX(0,0)</f>
        <v>0</v>
      </c>
      <c r="N757" s="7" t="str">
        <f aca="false">COMPLEX(1,0)</f>
        <v>1</v>
      </c>
      <c r="O757" s="7" t="str">
        <f aca="false">IMSUM(IMPRODUCT(K757,O756),IMPRODUCT(L757,Q756))</f>
        <v>0.999662102945447+0.0475715948040873i</v>
      </c>
      <c r="P757" s="7" t="str">
        <f aca="false">IMSUM(IMPRODUCT(K757,P756),IMPRODUCT(L757,R756))</f>
        <v>-0.279473616397733-0.00806139499685425i</v>
      </c>
      <c r="Q757" s="7" t="str">
        <f aca="false">IMSUM(IMPRODUCT(M757,O756),IMPRODUCT(N757,Q756))</f>
        <v>0.00788308844215658-0.556753210704163i</v>
      </c>
      <c r="R757" s="7" t="str">
        <f aca="false">IMSUM(IMPRODUCT(M757,P756),IMPRODUCT(N757,R756))</f>
        <v>0.998786604521934+0.108056925017434i</v>
      </c>
    </row>
    <row r="758" customFormat="false" ht="15" hidden="false" customHeight="false" outlineLevel="0" collapsed="false">
      <c r="A758" s="7" t="s">
        <v>71</v>
      </c>
      <c r="B758" s="7" t="s">
        <v>65</v>
      </c>
      <c r="C758" s="10" t="n">
        <f aca="false">INDEX(Classes!$B$5:$F$9,MATCH(Engine!$C$731,Classes!$A$5:$A$9,0),1)*(N745*1000)</f>
        <v>1093.75</v>
      </c>
      <c r="K758" s="7" t="str">
        <f aca="false">COMPLEX(1,0)</f>
        <v>1</v>
      </c>
      <c r="L758" s="7" t="str">
        <f aca="false">COMPLEX(0,0)</f>
        <v>0</v>
      </c>
      <c r="M758" s="7" t="str">
        <f aca="false">COMPLEX(0,-(2*PI()/($B$2*3600))*C758)</f>
        <v>-0.0795397445570332i</v>
      </c>
      <c r="N758" s="7" t="str">
        <f aca="false">COMPLEX(1,0)</f>
        <v>1</v>
      </c>
      <c r="O758" s="7" t="str">
        <f aca="false">IMSUM(IMPRODUCT(K758,O757),IMPRODUCT(L758,Q757))</f>
        <v>0.999662102945447+0.0475715948040873i</v>
      </c>
      <c r="P758" s="7" t="str">
        <f aca="false">IMSUM(IMPRODUCT(K758,P757),IMPRODUCT(L758,R757))</f>
        <v>-0.279473616397733-0.00806139499685425i</v>
      </c>
      <c r="Q758" s="7" t="str">
        <f aca="false">IMSUM(IMPRODUCT(M758,O757),IMPRODUCT(N758,Q757))</f>
        <v>0.0116669209410444-0.636266079015791i</v>
      </c>
      <c r="R758" s="7" t="str">
        <f aca="false">IMSUM(IMPRODUCT(M758,P757),IMPRODUCT(N758,R757))</f>
        <v>0.998145403223111+0.13028618507614i</v>
      </c>
    </row>
    <row r="759" customFormat="false" ht="15" hidden="false" customHeight="false" outlineLevel="0" collapsed="false">
      <c r="A759" s="7" t="s">
        <v>72</v>
      </c>
      <c r="B759" s="7" t="s">
        <v>73</v>
      </c>
      <c r="K759" s="7" t="str">
        <f aca="false">K743</f>
        <v>1</v>
      </c>
      <c r="L759" s="7" t="str">
        <f aca="false">L743</f>
        <v>-1000000</v>
      </c>
      <c r="M759" s="7" t="str">
        <f aca="false">M743</f>
        <v>0</v>
      </c>
      <c r="N759" s="7" t="str">
        <f aca="false">N743</f>
        <v>1</v>
      </c>
      <c r="O759" s="7" t="str">
        <f aca="false">IMSUM(IMPRODUCT(K759,O758),IMPRODUCT(L759,Q758))</f>
        <v>-11665.9212789415+636266.126587386i</v>
      </c>
      <c r="P759" s="7" t="str">
        <f aca="false">IMSUM(IMPRODUCT(K759,P758),IMPRODUCT(L759,R758))</f>
        <v>-998145.682696727-130286.193137535i</v>
      </c>
      <c r="Q759" s="7" t="str">
        <f aca="false">IMSUM(IMPRODUCT(M759,O758),IMPRODUCT(N759,Q758))</f>
        <v>0.0116669209410444-0.636266079015791i</v>
      </c>
      <c r="R759" s="7" t="str">
        <f aca="false">IMSUM(IMPRODUCT(M759,P758),IMPRODUCT(N759,R758))</f>
        <v>0.998145403223111+0.13028618507614i</v>
      </c>
    </row>
    <row r="760" customFormat="false" ht="15" hidden="false" customHeight="false" outlineLevel="0" collapsed="false">
      <c r="A760" s="7" t="s">
        <v>52</v>
      </c>
      <c r="B760" s="7" t="s">
        <v>73</v>
      </c>
      <c r="K760" s="7" t="str">
        <f aca="false">K744</f>
        <v>1</v>
      </c>
      <c r="L760" s="7" t="str">
        <f aca="false">L744</f>
        <v>-0</v>
      </c>
      <c r="M760" s="7" t="str">
        <f aca="false">M744</f>
        <v>0</v>
      </c>
      <c r="N760" s="7" t="str">
        <f aca="false">N744</f>
        <v>1</v>
      </c>
      <c r="O760" s="7" t="str">
        <f aca="false">IMSUM(IMPRODUCT(K760,O759),IMPRODUCT(L760,Q759))</f>
        <v>-11665.9212789415+636266.126587386i</v>
      </c>
      <c r="P760" s="7" t="str">
        <f aca="false">IMSUM(IMPRODUCT(K760,P759),IMPRODUCT(L760,R759))</f>
        <v>-998145.682696727-130286.193137535i</v>
      </c>
      <c r="Q760" s="7" t="str">
        <f aca="false">IMSUM(IMPRODUCT(M760,O759),IMPRODUCT(N760,Q759))</f>
        <v>0.0116669209410444-0.636266079015791i</v>
      </c>
      <c r="R760" s="7" t="str">
        <f aca="false">IMSUM(IMPRODUCT(M760,P759),IMPRODUCT(N760,R759))</f>
        <v>0.998145403223111+0.13028618507614i</v>
      </c>
    </row>
    <row r="761" customFormat="false" ht="15" hidden="false" customHeight="false" outlineLevel="0" collapsed="false">
      <c r="A761" s="9" t="s">
        <v>74</v>
      </c>
      <c r="B761" s="13" t="n">
        <f aca="false">IMABS(IMDIV(IMPRODUCT(O760,COMPLEX(-1,0)),P760))</f>
        <v>0.632192512519788</v>
      </c>
    </row>
    <row r="764" customFormat="false" ht="15" hidden="false" customHeight="false" outlineLevel="0" collapsed="false">
      <c r="A764" s="4" t="s">
        <v>141</v>
      </c>
      <c r="B764" s="9" t="s">
        <v>18</v>
      </c>
      <c r="C764" s="7" t="str">
        <f aca="false">INDEX(Library!$F$5:$F$34,MATCH(A764,Library!$A$5:$A$34,0))</f>
        <v>D</v>
      </c>
    </row>
    <row r="765" customFormat="false" ht="15" hidden="false" customHeight="false" outlineLevel="0" collapsed="false">
      <c r="A765" s="4" t="s">
        <v>142</v>
      </c>
      <c r="T765" s="9" t="s">
        <v>20</v>
      </c>
      <c r="U765" s="7" t="n">
        <f aca="false">MATCH($A$764,Library!$A$5:$A$34,0)</f>
        <v>24</v>
      </c>
      <c r="V765" s="9" t="s">
        <v>21</v>
      </c>
      <c r="W765" s="7" t="str">
        <f aca="false">INDEX(Library!$D$5:$D$34,$U$765)</f>
        <v>adiabatic</v>
      </c>
      <c r="X765" s="9" t="s">
        <v>22</v>
      </c>
      <c r="Y765" s="7" t="n">
        <f aca="false">INDEX(Library!$E$5:$E$34,$U$765)</f>
        <v>0.13</v>
      </c>
    </row>
    <row r="766" customFormat="false" ht="15" hidden="false" customHeight="false" outlineLevel="0" collapsed="false">
      <c r="A766" s="9"/>
      <c r="B766" s="9" t="s">
        <v>23</v>
      </c>
      <c r="C766" s="9" t="s">
        <v>24</v>
      </c>
      <c r="D766" s="9" t="s">
        <v>25</v>
      </c>
      <c r="E766" s="9" t="s">
        <v>26</v>
      </c>
      <c r="F766" s="9" t="s">
        <v>27</v>
      </c>
      <c r="G766" s="9" t="s">
        <v>28</v>
      </c>
      <c r="H766" s="9" t="s">
        <v>29</v>
      </c>
      <c r="I766" s="9" t="s">
        <v>30</v>
      </c>
      <c r="J766" s="9" t="s">
        <v>31</v>
      </c>
      <c r="K766" s="9" t="s">
        <v>32</v>
      </c>
      <c r="L766" s="9" t="s">
        <v>33</v>
      </c>
      <c r="M766" s="9" t="s">
        <v>34</v>
      </c>
      <c r="N766" s="9" t="s">
        <v>35</v>
      </c>
      <c r="O766" s="9" t="s">
        <v>36</v>
      </c>
      <c r="P766" s="9" t="s">
        <v>37</v>
      </c>
      <c r="Q766" s="9" t="s">
        <v>38</v>
      </c>
      <c r="R766" s="9" t="s">
        <v>39</v>
      </c>
      <c r="S766" s="9" t="s">
        <v>40</v>
      </c>
      <c r="T766" s="9" t="s">
        <v>41</v>
      </c>
    </row>
    <row r="767" customFormat="false" ht="15" hidden="false" customHeight="false" outlineLevel="0" collapsed="false">
      <c r="A767" s="7" t="s">
        <v>22</v>
      </c>
      <c r="B767" s="7" t="s">
        <v>42</v>
      </c>
      <c r="H767" s="10" t="n">
        <f aca="false">$Y$765</f>
        <v>0.13</v>
      </c>
      <c r="I767" s="11" t="n">
        <f aca="false">IF(B767="mass",SQRT(E767*($B$2*3600)/(PI()*F767*G767)),0)</f>
        <v>0</v>
      </c>
      <c r="J767" s="10" t="n">
        <f aca="false">IF(B767="mass",D767/I767,0)</f>
        <v>0</v>
      </c>
      <c r="K767" s="7" t="str">
        <f aca="false">IF(B767="mass",COMPLEX(COSH(J767)*COS(J767),SINH(J767)*SIN(J767)),COMPLEX(1,0))</f>
        <v>1</v>
      </c>
      <c r="L767" s="7" t="str">
        <f aca="false">IF(B767="mass",COMPLEX(-I767/(2*E767)*(SINH(J767)*COS(J767)+COSH(J767)*SIN(J767)),-I767/(2*E767)*(COSH(J767)*SIN(J767)-SINH(J767)*COS(J767))),COMPLEX(-H767,0))</f>
        <v>-0.13</v>
      </c>
      <c r="M767" s="7" t="str">
        <f aca="false">IF(B767="mass",COMPLEX(-E767/I767*(SINH(J767)*COS(J767)-COSH(J767)*SIN(J767)),-E767/I767*(SINH(J767)*COS(J767)+COSH(J767)*SIN(J767))),COMPLEX(0,0))</f>
        <v>0</v>
      </c>
      <c r="N767" s="7" t="str">
        <f aca="false">K767</f>
        <v>1</v>
      </c>
      <c r="O767" s="7" t="str">
        <f aca="false">K767</f>
        <v>1</v>
      </c>
      <c r="P767" s="7" t="str">
        <f aca="false">L767</f>
        <v>-0.13</v>
      </c>
      <c r="Q767" s="7" t="str">
        <f aca="false">M767</f>
        <v>0</v>
      </c>
      <c r="R767" s="7" t="str">
        <f aca="false">N767</f>
        <v>1</v>
      </c>
      <c r="S767" s="10" t="n">
        <f aca="false">IF(B767="mass",D767/E767,H767)</f>
        <v>0.13</v>
      </c>
      <c r="T767" s="12" t="n">
        <f aca="false">IF(B767="mass",F767*G767*D767,0)</f>
        <v>0</v>
      </c>
    </row>
    <row r="768" customFormat="false" ht="15" hidden="false" customHeight="false" outlineLevel="0" collapsed="false">
      <c r="A768" s="7" t="s">
        <v>43</v>
      </c>
      <c r="B768" s="7" t="str">
        <f aca="false">IF(C768="","none",IF(C768="Cavity","res","mass"))</f>
        <v>mass</v>
      </c>
      <c r="C768" s="7" t="str">
        <f aca="false">IF(INDEX(Library!$G$5:$G$34,$U$765)="","",INDEX(Library!$G$5:$G$34,$U$765))</f>
        <v>gypsum plaster</v>
      </c>
      <c r="D768" s="11" t="n">
        <f aca="false">IF(B768="mass",INDEX(Library!$H$5:$H$34,$U$765)/1000,0)</f>
        <v>0.013</v>
      </c>
      <c r="E768" s="7" t="n">
        <f aca="false">IF(B768="mass",INDEX(Materials!$B$5:$B$28,MATCH(C768,Materials!$A$5:$A$28,0)),0)</f>
        <v>0.5</v>
      </c>
      <c r="F768" s="7" t="n">
        <f aca="false">IF(B768="mass",INDEX(Materials!$C$5:$C$28,MATCH(C768,Materials!$A$5:$A$28,0)),0)</f>
        <v>1300</v>
      </c>
      <c r="G768" s="7" t="n">
        <f aca="false">IF(B768="mass",INDEX(Materials!$D$5:$D$28,MATCH(C768,Materials!$A$5:$A$28,0)),0)</f>
        <v>1000</v>
      </c>
      <c r="H768" s="10" t="n">
        <f aca="false">IF(B768="res",INDEX(Library!$H$5:$H$34,$U$765),0)</f>
        <v>0</v>
      </c>
      <c r="I768" s="11" t="n">
        <f aca="false">IF(B768="mass",SQRT(E768*($B$2*3600)/(PI()*F768*G768)),0)</f>
        <v>0.102847860316323</v>
      </c>
      <c r="J768" s="10" t="n">
        <f aca="false">IF(B768="mass",D768/I768,0)</f>
        <v>0.126400296126887</v>
      </c>
      <c r="K768" s="7" t="str">
        <f aca="false">IF(B768="mass",COMPLEX(COSH(J768)*COS(J768),SINH(J768)*SIN(J768)),COMPLEX(1,0))</f>
        <v>0.999957455752033+0.0159769895455509i</v>
      </c>
      <c r="L768" s="7" t="str">
        <f aca="false">IF(B768="mass",COMPLEX(-I768/(2*E768)*(SINH(J768)*COS(J768)+COSH(J768)*SIN(J768)),-I768/(2*E768)*(COSH(J768)*SIN(J768)-SINH(J768)*COS(J768))),COMPLEX(-H768,0))</f>
        <v>-0.0259997787698508-0.00013846746714729i</v>
      </c>
      <c r="M768" s="7" t="str">
        <f aca="false">IF(B768="mass",COMPLEX(-E768/I768*(SINH(J768)*COS(J768)-COSH(J768)*SIN(J768)),-E768/I768*(SINH(J768)*COS(J768)+COSH(J768)*SIN(J768))),COMPLEX(0,0))</f>
        <v>0.00654526494000515-1.22899222421088i</v>
      </c>
      <c r="N768" s="7" t="str">
        <f aca="false">K768</f>
        <v>0.999957455752033+0.0159769895455509i</v>
      </c>
      <c r="O768" s="7" t="str">
        <f aca="false">IMSUM(IMPRODUCT(K768,O767),IMPRODUCT(L768,Q767))</f>
        <v>0.999957455752033+0.0159769895455509i</v>
      </c>
      <c r="P768" s="7" t="str">
        <f aca="false">IMSUM(IMPRODUCT(K768,P767),IMPRODUCT(L768,R767))</f>
        <v>-0.155994248017615-0.00221547610806891i</v>
      </c>
      <c r="Q768" s="7" t="str">
        <f aca="false">IMSUM(IMPRODUCT(M768,O767),IMPRODUCT(N768,Q767))</f>
        <v>0.00654526494000515-1.22899222421088i</v>
      </c>
      <c r="R768" s="7" t="str">
        <f aca="false">IMSUM(IMPRODUCT(M768,P767),IMPRODUCT(N768,R767))</f>
        <v>0.999106571309832+0.175745978692965i</v>
      </c>
      <c r="S768" s="10" t="n">
        <f aca="false">IF(B768="mass",D768/E768,H768)</f>
        <v>0.026</v>
      </c>
      <c r="T768" s="12" t="n">
        <f aca="false">IF(B768="mass",F768*G768*D768,0)</f>
        <v>16900</v>
      </c>
    </row>
    <row r="769" customFormat="false" ht="15" hidden="false" customHeight="false" outlineLevel="0" collapsed="false">
      <c r="A769" s="7" t="s">
        <v>44</v>
      </c>
      <c r="B769" s="7" t="str">
        <f aca="false">IF(C769="","none",IF(C769="Cavity","res","mass"))</f>
        <v>mass</v>
      </c>
      <c r="C769" s="7" t="str">
        <f aca="false">IF(INDEX(Library!$I$5:$I$34,$U$765)="","",INDEX(Library!$I$5:$I$34,$U$765))</f>
        <v>dense block</v>
      </c>
      <c r="D769" s="11" t="n">
        <f aca="false">IF(B769="mass",INDEX(Library!$J$5:$J$34,$U$765)/1000,0)</f>
        <v>0.05</v>
      </c>
      <c r="E769" s="7" t="n">
        <f aca="false">IF(B769="mass",INDEX(Materials!$B$5:$B$28,MATCH(C769,Materials!$A$5:$A$28,0)),0)</f>
        <v>1.13</v>
      </c>
      <c r="F769" s="7" t="n">
        <f aca="false">IF(B769="mass",INDEX(Materials!$C$5:$C$28,MATCH(C769,Materials!$A$5:$A$28,0)),0)</f>
        <v>2000</v>
      </c>
      <c r="G769" s="7" t="n">
        <f aca="false">IF(B769="mass",INDEX(Materials!$D$5:$D$28,MATCH(C769,Materials!$A$5:$A$28,0)),0)</f>
        <v>1000</v>
      </c>
      <c r="H769" s="10" t="n">
        <f aca="false">IF(B769="res",INDEX(Library!$J$5:$J$34,$U$765),0)</f>
        <v>0</v>
      </c>
      <c r="I769" s="11" t="n">
        <f aca="false">IF(B769="mass",SQRT(E769*($B$2*3600)/(PI()*F769*G769)),0)</f>
        <v>0.124653982703915</v>
      </c>
      <c r="J769" s="10" t="n">
        <f aca="false">IF(B769="mass",D769/I769,0)</f>
        <v>0.401110328891479</v>
      </c>
      <c r="K769" s="7" t="str">
        <f aca="false">IF(B769="mass",COMPLEX(COSH(J769)*COS(J769),SINH(J769)*SIN(J769)),COMPLEX(1,0))</f>
        <v>0.995686027575226+0.160843222518868i</v>
      </c>
      <c r="L769" s="7" t="str">
        <f aca="false">IF(B769="mass",COMPLEX(-I769/(2*E769)*(SINH(J769)*COS(J769)+COSH(J769)*SIN(J769)),-I769/(2*E769)*(COSH(J769)*SIN(J769)-SINH(J769)*COS(J769))),COMPLEX(-H769,0))</f>
        <v>-0.0442096098177087-0.00237270891338653i</v>
      </c>
      <c r="M769" s="7" t="str">
        <f aca="false">IF(B769="mass",COMPLEX(-E769/I769*(SINH(J769)*COS(J769)-COSH(J769)*SIN(J769)),-E769/I769*(SINH(J769)*COS(J769)+COSH(J769)*SIN(J769))),COMPLEX(0,0))</f>
        <v>0.389959070707612-7.26593062621133i</v>
      </c>
      <c r="N769" s="7" t="str">
        <f aca="false">K769</f>
        <v>0.995686027575226+0.160843222518868i</v>
      </c>
      <c r="O769" s="7" t="str">
        <f aca="false">IMSUM(IMPRODUCT(K769,O768),IMPRODUCT(L769,Q768))</f>
        <v>0.989868471963296+0.231062181511043i</v>
      </c>
      <c r="P769" s="7" t="str">
        <f aca="false">IMSUM(IMPRODUCT(K769,P768),IMPRODUCT(L769,R768))</f>
        <v>-0.198718066450388-0.0374367863630089i</v>
      </c>
      <c r="Q769" s="7" t="str">
        <f aca="false">IMSUM(IMPRODUCT(M769,O768),IMPRODUCT(N769,Q768))</f>
        <v>0.710222276486137-8.48202875480135i</v>
      </c>
      <c r="R769" s="7" t="str">
        <f aca="false">IMSUM(IMPRODUCT(M769,P768),IMPRODUCT(N769,R768))</f>
        <v>0.889600035856143+1.46826677513609i</v>
      </c>
      <c r="S769" s="10" t="n">
        <f aca="false">IF(B769="mass",D769/E769,H769)</f>
        <v>0.0442477876106195</v>
      </c>
      <c r="T769" s="12" t="n">
        <f aca="false">IF(B769="mass",F769*G769*D769,0)</f>
        <v>100000</v>
      </c>
    </row>
    <row r="770" customFormat="false" ht="15" hidden="false" customHeight="false" outlineLevel="0" collapsed="false">
      <c r="A770" s="7" t="s">
        <v>45</v>
      </c>
      <c r="B770" s="7" t="str">
        <f aca="false">IF(C770="","none",IF(C770="Cavity","res","mass"))</f>
        <v>none</v>
      </c>
      <c r="C770" s="7" t="str">
        <f aca="false">IF(INDEX(Library!$K$5:$K$34,$U$765)="","",INDEX(Library!$K$5:$K$34,$U$765))</f>
        <v/>
      </c>
      <c r="D770" s="11" t="n">
        <f aca="false">IF(B770="mass",INDEX(Library!$L$5:$L$34,$U$765)/1000,0)</f>
        <v>0</v>
      </c>
      <c r="E770" s="7" t="n">
        <f aca="false">IF(B770="mass",INDEX(Materials!$B$5:$B$28,MATCH(C770,Materials!$A$5:$A$28,0)),0)</f>
        <v>0</v>
      </c>
      <c r="F770" s="7" t="n">
        <f aca="false">IF(B770="mass",INDEX(Materials!$C$5:$C$28,MATCH(C770,Materials!$A$5:$A$28,0)),0)</f>
        <v>0</v>
      </c>
      <c r="G770" s="7" t="n">
        <f aca="false">IF(B770="mass",INDEX(Materials!$D$5:$D$28,MATCH(C770,Materials!$A$5:$A$28,0)),0)</f>
        <v>0</v>
      </c>
      <c r="H770" s="10" t="n">
        <f aca="false">IF(B770="res",INDEX(Library!$L$5:$L$34,$U$765),0)</f>
        <v>0</v>
      </c>
      <c r="I770" s="11" t="n">
        <f aca="false">IF(B770="mass",SQRT(E770*($B$2*3600)/(PI()*F770*G770)),0)</f>
        <v>0</v>
      </c>
      <c r="J770" s="10" t="n">
        <f aca="false">IF(B770="mass",D770/I770,0)</f>
        <v>0</v>
      </c>
      <c r="K770" s="7" t="str">
        <f aca="false">IF(B770="mass",COMPLEX(COSH(J770)*COS(J770),SINH(J770)*SIN(J770)),COMPLEX(1,0))</f>
        <v>1</v>
      </c>
      <c r="L770" s="7" t="str">
        <f aca="false">IF(B770="mass",COMPLEX(-I770/(2*E770)*(SINH(J770)*COS(J770)+COSH(J770)*SIN(J770)),-I770/(2*E770)*(COSH(J770)*SIN(J770)-SINH(J770)*COS(J770))),COMPLEX(-H770,0))</f>
        <v>-0</v>
      </c>
      <c r="M770" s="7" t="str">
        <f aca="false">IF(B770="mass",COMPLEX(-E770/I770*(SINH(J770)*COS(J770)-COSH(J770)*SIN(J770)),-E770/I770*(SINH(J770)*COS(J770)+COSH(J770)*SIN(J770))),COMPLEX(0,0))</f>
        <v>0</v>
      </c>
      <c r="N770" s="7" t="str">
        <f aca="false">K770</f>
        <v>1</v>
      </c>
      <c r="O770" s="7" t="str">
        <f aca="false">IMSUM(IMPRODUCT(K770,O769),IMPRODUCT(L770,Q769))</f>
        <v>0.989868471963296+0.231062181511043i</v>
      </c>
      <c r="P770" s="7" t="str">
        <f aca="false">IMSUM(IMPRODUCT(K770,P769),IMPRODUCT(L770,R769))</f>
        <v>-0.198718066450388-0.0374367863630089i</v>
      </c>
      <c r="Q770" s="7" t="str">
        <f aca="false">IMSUM(IMPRODUCT(M770,O769),IMPRODUCT(N770,Q769))</f>
        <v>0.710222276486137-8.48202875480135i</v>
      </c>
      <c r="R770" s="7" t="str">
        <f aca="false">IMSUM(IMPRODUCT(M770,P769),IMPRODUCT(N770,R769))</f>
        <v>0.889600035856143+1.46826677513609i</v>
      </c>
      <c r="S770" s="10" t="n">
        <f aca="false">IF(B770="mass",D770/E770,H770)</f>
        <v>0</v>
      </c>
      <c r="T770" s="12" t="n">
        <f aca="false">IF(B770="mass",F770*G770*D770,0)</f>
        <v>0</v>
      </c>
    </row>
    <row r="771" customFormat="false" ht="15" hidden="false" customHeight="false" outlineLevel="0" collapsed="false">
      <c r="A771" s="7" t="s">
        <v>46</v>
      </c>
      <c r="B771" s="7" t="str">
        <f aca="false">IF(C771="","none",IF(C771="Cavity","res","mass"))</f>
        <v>none</v>
      </c>
      <c r="C771" s="7" t="str">
        <f aca="false">IF(INDEX(Library!$M$5:$M$34,$U$765)="","",INDEX(Library!$M$5:$M$34,$U$765))</f>
        <v/>
      </c>
      <c r="D771" s="11" t="n">
        <f aca="false">IF(B771="mass",INDEX(Library!$N$5:$N$34,$U$765)/1000,0)</f>
        <v>0</v>
      </c>
      <c r="E771" s="7" t="n">
        <f aca="false">IF(B771="mass",INDEX(Materials!$B$5:$B$28,MATCH(C771,Materials!$A$5:$A$28,0)),0)</f>
        <v>0</v>
      </c>
      <c r="F771" s="7" t="n">
        <f aca="false">IF(B771="mass",INDEX(Materials!$C$5:$C$28,MATCH(C771,Materials!$A$5:$A$28,0)),0)</f>
        <v>0</v>
      </c>
      <c r="G771" s="7" t="n">
        <f aca="false">IF(B771="mass",INDEX(Materials!$D$5:$D$28,MATCH(C771,Materials!$A$5:$A$28,0)),0)</f>
        <v>0</v>
      </c>
      <c r="H771" s="10" t="n">
        <f aca="false">IF(B771="res",INDEX(Library!$N$5:$N$34,$U$765),0)</f>
        <v>0</v>
      </c>
      <c r="I771" s="11" t="n">
        <f aca="false">IF(B771="mass",SQRT(E771*($B$2*3600)/(PI()*F771*G771)),0)</f>
        <v>0</v>
      </c>
      <c r="J771" s="10" t="n">
        <f aca="false">IF(B771="mass",D771/I771,0)</f>
        <v>0</v>
      </c>
      <c r="K771" s="7" t="str">
        <f aca="false">IF(B771="mass",COMPLEX(COSH(J771)*COS(J771),SINH(J771)*SIN(J771)),COMPLEX(1,0))</f>
        <v>1</v>
      </c>
      <c r="L771" s="7" t="str">
        <f aca="false">IF(B771="mass",COMPLEX(-I771/(2*E771)*(SINH(J771)*COS(J771)+COSH(J771)*SIN(J771)),-I771/(2*E771)*(COSH(J771)*SIN(J771)-SINH(J771)*COS(J771))),COMPLEX(-H771,0))</f>
        <v>-0</v>
      </c>
      <c r="M771" s="7" t="str">
        <f aca="false">IF(B771="mass",COMPLEX(-E771/I771*(SINH(J771)*COS(J771)-COSH(J771)*SIN(J771)),-E771/I771*(SINH(J771)*COS(J771)+COSH(J771)*SIN(J771))),COMPLEX(0,0))</f>
        <v>0</v>
      </c>
      <c r="N771" s="7" t="str">
        <f aca="false">K771</f>
        <v>1</v>
      </c>
      <c r="O771" s="7" t="str">
        <f aca="false">IMSUM(IMPRODUCT(K771,O770),IMPRODUCT(L771,Q770))</f>
        <v>0.989868471963296+0.231062181511043i</v>
      </c>
      <c r="P771" s="7" t="str">
        <f aca="false">IMSUM(IMPRODUCT(K771,P770),IMPRODUCT(L771,R770))</f>
        <v>-0.198718066450388-0.0374367863630089i</v>
      </c>
      <c r="Q771" s="7" t="str">
        <f aca="false">IMSUM(IMPRODUCT(M771,O770),IMPRODUCT(N771,Q770))</f>
        <v>0.710222276486137-8.48202875480135i</v>
      </c>
      <c r="R771" s="7" t="str">
        <f aca="false">IMSUM(IMPRODUCT(M771,P770),IMPRODUCT(N771,R770))</f>
        <v>0.889600035856143+1.46826677513609i</v>
      </c>
      <c r="S771" s="10" t="n">
        <f aca="false">IF(B771="mass",D771/E771,H771)</f>
        <v>0</v>
      </c>
      <c r="T771" s="12" t="n">
        <f aca="false">IF(B771="mass",F771*G771*D771,0)</f>
        <v>0</v>
      </c>
    </row>
    <row r="772" customFormat="false" ht="15" hidden="false" customHeight="false" outlineLevel="0" collapsed="false">
      <c r="A772" s="7" t="s">
        <v>47</v>
      </c>
      <c r="B772" s="7" t="str">
        <f aca="false">IF(C772="","none",IF(C772="Cavity","res","mass"))</f>
        <v>none</v>
      </c>
      <c r="C772" s="7" t="str">
        <f aca="false">IF(INDEX(Library!$O$5:$O$34,$U$765)="","",INDEX(Library!$O$5:$O$34,$U$765))</f>
        <v/>
      </c>
      <c r="D772" s="11" t="n">
        <f aca="false">IF(B772="mass",INDEX(Library!$P$5:$P$34,$U$765)/1000,0)</f>
        <v>0</v>
      </c>
      <c r="E772" s="7" t="n">
        <f aca="false">IF(B772="mass",INDEX(Materials!$B$5:$B$28,MATCH(C772,Materials!$A$5:$A$28,0)),0)</f>
        <v>0</v>
      </c>
      <c r="F772" s="7" t="n">
        <f aca="false">IF(B772="mass",INDEX(Materials!$C$5:$C$28,MATCH(C772,Materials!$A$5:$A$28,0)),0)</f>
        <v>0</v>
      </c>
      <c r="G772" s="7" t="n">
        <f aca="false">IF(B772="mass",INDEX(Materials!$D$5:$D$28,MATCH(C772,Materials!$A$5:$A$28,0)),0)</f>
        <v>0</v>
      </c>
      <c r="H772" s="10" t="n">
        <f aca="false">IF(B772="res",INDEX(Library!$P$5:$P$34,$U$765),0)</f>
        <v>0</v>
      </c>
      <c r="I772" s="11" t="n">
        <f aca="false">IF(B772="mass",SQRT(E772*($B$2*3600)/(PI()*F772*G772)),0)</f>
        <v>0</v>
      </c>
      <c r="J772" s="10" t="n">
        <f aca="false">IF(B772="mass",D772/I772,0)</f>
        <v>0</v>
      </c>
      <c r="K772" s="7" t="str">
        <f aca="false">IF(B772="mass",COMPLEX(COSH(J772)*COS(J772),SINH(J772)*SIN(J772)),COMPLEX(1,0))</f>
        <v>1</v>
      </c>
      <c r="L772" s="7" t="str">
        <f aca="false">IF(B772="mass",COMPLEX(-I772/(2*E772)*(SINH(J772)*COS(J772)+COSH(J772)*SIN(J772)),-I772/(2*E772)*(COSH(J772)*SIN(J772)-SINH(J772)*COS(J772))),COMPLEX(-H772,0))</f>
        <v>-0</v>
      </c>
      <c r="M772" s="7" t="str">
        <f aca="false">IF(B772="mass",COMPLEX(-E772/I772*(SINH(J772)*COS(J772)-COSH(J772)*SIN(J772)),-E772/I772*(SINH(J772)*COS(J772)+COSH(J772)*SIN(J772))),COMPLEX(0,0))</f>
        <v>0</v>
      </c>
      <c r="N772" s="7" t="str">
        <f aca="false">K772</f>
        <v>1</v>
      </c>
      <c r="O772" s="7" t="str">
        <f aca="false">IMSUM(IMPRODUCT(K772,O771),IMPRODUCT(L772,Q771))</f>
        <v>0.989868471963296+0.231062181511043i</v>
      </c>
      <c r="P772" s="7" t="str">
        <f aca="false">IMSUM(IMPRODUCT(K772,P771),IMPRODUCT(L772,R771))</f>
        <v>-0.198718066450388-0.0374367863630089i</v>
      </c>
      <c r="Q772" s="7" t="str">
        <f aca="false">IMSUM(IMPRODUCT(M772,O771),IMPRODUCT(N772,Q771))</f>
        <v>0.710222276486137-8.48202875480135i</v>
      </c>
      <c r="R772" s="7" t="str">
        <f aca="false">IMSUM(IMPRODUCT(M772,P771),IMPRODUCT(N772,R771))</f>
        <v>0.889600035856143+1.46826677513609i</v>
      </c>
      <c r="S772" s="10" t="n">
        <f aca="false">IF(B772="mass",D772/E772,H772)</f>
        <v>0</v>
      </c>
      <c r="T772" s="12" t="n">
        <f aca="false">IF(B772="mass",F772*G772*D772,0)</f>
        <v>0</v>
      </c>
    </row>
    <row r="773" customFormat="false" ht="15" hidden="false" customHeight="false" outlineLevel="0" collapsed="false">
      <c r="A773" s="7" t="s">
        <v>48</v>
      </c>
      <c r="B773" s="7" t="str">
        <f aca="false">IF(C773="","none",IF(C773="Cavity","res","mass"))</f>
        <v>none</v>
      </c>
      <c r="C773" s="7" t="str">
        <f aca="false">IF(INDEX(Library!$Q$5:$Q$34,$U$765)="","",INDEX(Library!$Q$5:$Q$34,$U$765))</f>
        <v/>
      </c>
      <c r="D773" s="11" t="n">
        <f aca="false">IF(B773="mass",INDEX(Library!$R$5:$R$34,$U$765)/1000,0)</f>
        <v>0</v>
      </c>
      <c r="E773" s="7" t="n">
        <f aca="false">IF(B773="mass",INDEX(Materials!$B$5:$B$28,MATCH(C773,Materials!$A$5:$A$28,0)),0)</f>
        <v>0</v>
      </c>
      <c r="F773" s="7" t="n">
        <f aca="false">IF(B773="mass",INDEX(Materials!$C$5:$C$28,MATCH(C773,Materials!$A$5:$A$28,0)),0)</f>
        <v>0</v>
      </c>
      <c r="G773" s="7" t="n">
        <f aca="false">IF(B773="mass",INDEX(Materials!$D$5:$D$28,MATCH(C773,Materials!$A$5:$A$28,0)),0)</f>
        <v>0</v>
      </c>
      <c r="H773" s="10" t="n">
        <f aca="false">IF(B773="res",INDEX(Library!$R$5:$R$34,$U$765),0)</f>
        <v>0</v>
      </c>
      <c r="I773" s="11" t="n">
        <f aca="false">IF(B773="mass",SQRT(E773*($B$2*3600)/(PI()*F773*G773)),0)</f>
        <v>0</v>
      </c>
      <c r="J773" s="10" t="n">
        <f aca="false">IF(B773="mass",D773/I773,0)</f>
        <v>0</v>
      </c>
      <c r="K773" s="7" t="str">
        <f aca="false">IF(B773="mass",COMPLEX(COSH(J773)*COS(J773),SINH(J773)*SIN(J773)),COMPLEX(1,0))</f>
        <v>1</v>
      </c>
      <c r="L773" s="7" t="str">
        <f aca="false">IF(B773="mass",COMPLEX(-I773/(2*E773)*(SINH(J773)*COS(J773)+COSH(J773)*SIN(J773)),-I773/(2*E773)*(COSH(J773)*SIN(J773)-SINH(J773)*COS(J773))),COMPLEX(-H773,0))</f>
        <v>-0</v>
      </c>
      <c r="M773" s="7" t="str">
        <f aca="false">IF(B773="mass",COMPLEX(-E773/I773*(SINH(J773)*COS(J773)-COSH(J773)*SIN(J773)),-E773/I773*(SINH(J773)*COS(J773)+COSH(J773)*SIN(J773))),COMPLEX(0,0))</f>
        <v>0</v>
      </c>
      <c r="N773" s="7" t="str">
        <f aca="false">K773</f>
        <v>1</v>
      </c>
      <c r="O773" s="7" t="str">
        <f aca="false">IMSUM(IMPRODUCT(K773,O772),IMPRODUCT(L773,Q772))</f>
        <v>0.989868471963296+0.231062181511043i</v>
      </c>
      <c r="P773" s="7" t="str">
        <f aca="false">IMSUM(IMPRODUCT(K773,P772),IMPRODUCT(L773,R772))</f>
        <v>-0.198718066450388-0.0374367863630089i</v>
      </c>
      <c r="Q773" s="7" t="str">
        <f aca="false">IMSUM(IMPRODUCT(M773,O772),IMPRODUCT(N773,Q772))</f>
        <v>0.710222276486137-8.48202875480135i</v>
      </c>
      <c r="R773" s="7" t="str">
        <f aca="false">IMSUM(IMPRODUCT(M773,P772),IMPRODUCT(N773,R772))</f>
        <v>0.889600035856143+1.46826677513609i</v>
      </c>
      <c r="S773" s="10" t="n">
        <f aca="false">IF(B773="mass",D773/E773,H773)</f>
        <v>0</v>
      </c>
      <c r="T773" s="12" t="n">
        <f aca="false">IF(B773="mass",F773*G773*D773,0)</f>
        <v>0</v>
      </c>
    </row>
    <row r="774" customFormat="false" ht="15" hidden="false" customHeight="false" outlineLevel="0" collapsed="false">
      <c r="A774" s="7" t="s">
        <v>49</v>
      </c>
      <c r="B774" s="7" t="str">
        <f aca="false">IF(C774="","none",IF(C774="Cavity","res","mass"))</f>
        <v>none</v>
      </c>
      <c r="C774" s="7" t="str">
        <f aca="false">IF(INDEX(Library!$S$5:$S$34,$U$765)="","",INDEX(Library!$S$5:$S$34,$U$765))</f>
        <v/>
      </c>
      <c r="D774" s="11" t="n">
        <f aca="false">IF(B774="mass",INDEX(Library!$T$5:$T$34,$U$765)/1000,0)</f>
        <v>0</v>
      </c>
      <c r="E774" s="7" t="n">
        <f aca="false">IF(B774="mass",INDEX(Materials!$B$5:$B$28,MATCH(C774,Materials!$A$5:$A$28,0)),0)</f>
        <v>0</v>
      </c>
      <c r="F774" s="7" t="n">
        <f aca="false">IF(B774="mass",INDEX(Materials!$C$5:$C$28,MATCH(C774,Materials!$A$5:$A$28,0)),0)</f>
        <v>0</v>
      </c>
      <c r="G774" s="7" t="n">
        <f aca="false">IF(B774="mass",INDEX(Materials!$D$5:$D$28,MATCH(C774,Materials!$A$5:$A$28,0)),0)</f>
        <v>0</v>
      </c>
      <c r="H774" s="10" t="n">
        <f aca="false">IF(B774="res",INDEX(Library!$T$5:$T$34,$U$765),0)</f>
        <v>0</v>
      </c>
      <c r="I774" s="11" t="n">
        <f aca="false">IF(B774="mass",SQRT(E774*($B$2*3600)/(PI()*F774*G774)),0)</f>
        <v>0</v>
      </c>
      <c r="J774" s="10" t="n">
        <f aca="false">IF(B774="mass",D774/I774,0)</f>
        <v>0</v>
      </c>
      <c r="K774" s="7" t="str">
        <f aca="false">IF(B774="mass",COMPLEX(COSH(J774)*COS(J774),SINH(J774)*SIN(J774)),COMPLEX(1,0))</f>
        <v>1</v>
      </c>
      <c r="L774" s="7" t="str">
        <f aca="false">IF(B774="mass",COMPLEX(-I774/(2*E774)*(SINH(J774)*COS(J774)+COSH(J774)*SIN(J774)),-I774/(2*E774)*(COSH(J774)*SIN(J774)-SINH(J774)*COS(J774))),COMPLEX(-H774,0))</f>
        <v>-0</v>
      </c>
      <c r="M774" s="7" t="str">
        <f aca="false">IF(B774="mass",COMPLEX(-E774/I774*(SINH(J774)*COS(J774)-COSH(J774)*SIN(J774)),-E774/I774*(SINH(J774)*COS(J774)+COSH(J774)*SIN(J774))),COMPLEX(0,0))</f>
        <v>0</v>
      </c>
      <c r="N774" s="7" t="str">
        <f aca="false">K774</f>
        <v>1</v>
      </c>
      <c r="O774" s="7" t="str">
        <f aca="false">IMSUM(IMPRODUCT(K774,O773),IMPRODUCT(L774,Q773))</f>
        <v>0.989868471963296+0.231062181511043i</v>
      </c>
      <c r="P774" s="7" t="str">
        <f aca="false">IMSUM(IMPRODUCT(K774,P773),IMPRODUCT(L774,R773))</f>
        <v>-0.198718066450388-0.0374367863630089i</v>
      </c>
      <c r="Q774" s="7" t="str">
        <f aca="false">IMSUM(IMPRODUCT(M774,O773),IMPRODUCT(N774,Q773))</f>
        <v>0.710222276486137-8.48202875480135i</v>
      </c>
      <c r="R774" s="7" t="str">
        <f aca="false">IMSUM(IMPRODUCT(M774,P773),IMPRODUCT(N774,R773))</f>
        <v>0.889600035856143+1.46826677513609i</v>
      </c>
      <c r="S774" s="10" t="n">
        <f aca="false">IF(B774="mass",D774/E774,H774)</f>
        <v>0</v>
      </c>
      <c r="T774" s="12" t="n">
        <f aca="false">IF(B774="mass",F774*G774*D774,0)</f>
        <v>0</v>
      </c>
    </row>
    <row r="775" customFormat="false" ht="15" hidden="false" customHeight="false" outlineLevel="0" collapsed="false">
      <c r="A775" s="7" t="s">
        <v>50</v>
      </c>
      <c r="B775" s="7" t="str">
        <f aca="false">IF(C775="","none",IF(C775="Cavity","res","mass"))</f>
        <v>none</v>
      </c>
      <c r="C775" s="7" t="str">
        <f aca="false">IF(INDEX(Library!$U$5:$U$34,$U$765)="","",INDEX(Library!$U$5:$U$34,$U$765))</f>
        <v/>
      </c>
      <c r="D775" s="11" t="n">
        <f aca="false">IF(B775="mass",INDEX(Library!$V$5:$V$34,$U$765)/1000,0)</f>
        <v>0</v>
      </c>
      <c r="E775" s="7" t="n">
        <f aca="false">IF(B775="mass",INDEX(Materials!$B$5:$B$28,MATCH(C775,Materials!$A$5:$A$28,0)),0)</f>
        <v>0</v>
      </c>
      <c r="F775" s="7" t="n">
        <f aca="false">IF(B775="mass",INDEX(Materials!$C$5:$C$28,MATCH(C775,Materials!$A$5:$A$28,0)),0)</f>
        <v>0</v>
      </c>
      <c r="G775" s="7" t="n">
        <f aca="false">IF(B775="mass",INDEX(Materials!$D$5:$D$28,MATCH(C775,Materials!$A$5:$A$28,0)),0)</f>
        <v>0</v>
      </c>
      <c r="H775" s="10" t="n">
        <f aca="false">IF(B775="res",INDEX(Library!$V$5:$V$34,$U$765),0)</f>
        <v>0</v>
      </c>
      <c r="I775" s="11" t="n">
        <f aca="false">IF(B775="mass",SQRT(E775*($B$2*3600)/(PI()*F775*G775)),0)</f>
        <v>0</v>
      </c>
      <c r="J775" s="10" t="n">
        <f aca="false">IF(B775="mass",D775/I775,0)</f>
        <v>0</v>
      </c>
      <c r="K775" s="7" t="str">
        <f aca="false">IF(B775="mass",COMPLEX(COSH(J775)*COS(J775),SINH(J775)*SIN(J775)),COMPLEX(1,0))</f>
        <v>1</v>
      </c>
      <c r="L775" s="7" t="str">
        <f aca="false">IF(B775="mass",COMPLEX(-I775/(2*E775)*(SINH(J775)*COS(J775)+COSH(J775)*SIN(J775)),-I775/(2*E775)*(COSH(J775)*SIN(J775)-SINH(J775)*COS(J775))),COMPLEX(-H775,0))</f>
        <v>-0</v>
      </c>
      <c r="M775" s="7" t="str">
        <f aca="false">IF(B775="mass",COMPLEX(-E775/I775*(SINH(J775)*COS(J775)-COSH(J775)*SIN(J775)),-E775/I775*(SINH(J775)*COS(J775)+COSH(J775)*SIN(J775))),COMPLEX(0,0))</f>
        <v>0</v>
      </c>
      <c r="N775" s="7" t="str">
        <f aca="false">K775</f>
        <v>1</v>
      </c>
      <c r="O775" s="7" t="str">
        <f aca="false">IMSUM(IMPRODUCT(K775,O774),IMPRODUCT(L775,Q774))</f>
        <v>0.989868471963296+0.231062181511043i</v>
      </c>
      <c r="P775" s="7" t="str">
        <f aca="false">IMSUM(IMPRODUCT(K775,P774),IMPRODUCT(L775,R774))</f>
        <v>-0.198718066450388-0.0374367863630089i</v>
      </c>
      <c r="Q775" s="7" t="str">
        <f aca="false">IMSUM(IMPRODUCT(M775,O774),IMPRODUCT(N775,Q774))</f>
        <v>0.710222276486137-8.48202875480135i</v>
      </c>
      <c r="R775" s="7" t="str">
        <f aca="false">IMSUM(IMPRODUCT(M775,P774),IMPRODUCT(N775,R774))</f>
        <v>0.889600035856143+1.46826677513609i</v>
      </c>
      <c r="S775" s="10" t="n">
        <f aca="false">IF(B775="mass",D775/E775,H775)</f>
        <v>0</v>
      </c>
      <c r="T775" s="12" t="n">
        <f aca="false">IF(B775="mass",F775*G775*D775,0)</f>
        <v>0</v>
      </c>
    </row>
    <row r="776" customFormat="false" ht="15" hidden="false" customHeight="false" outlineLevel="0" collapsed="false">
      <c r="A776" s="7" t="s">
        <v>51</v>
      </c>
      <c r="B776" s="7" t="str">
        <f aca="false">IF($W$765="ground","mass",IF($W$765="adiabatic","res","none"))</f>
        <v>res</v>
      </c>
      <c r="C776" s="7" t="str">
        <f aca="false">IF($W$765="ground","clay soil","")</f>
        <v/>
      </c>
      <c r="D776" s="11" t="n">
        <f aca="false">IF(B776="mass",1,0)</f>
        <v>0</v>
      </c>
      <c r="E776" s="7" t="n">
        <f aca="false">IF(B776="mass",INDEX(Materials!$B$5:$B$28,MATCH(C776,Materials!$A$5:$A$28,0)),0)</f>
        <v>0</v>
      </c>
      <c r="F776" s="7" t="n">
        <f aca="false">IF(B776="mass",INDEX(Materials!$C$5:$C$28,MATCH(C776,Materials!$A$5:$A$28,0)),0)</f>
        <v>0</v>
      </c>
      <c r="G776" s="7" t="n">
        <f aca="false">IF(B776="mass",INDEX(Materials!$D$5:$D$28,MATCH(C776,Materials!$A$5:$A$28,0)),0)</f>
        <v>0</v>
      </c>
      <c r="H776" s="12" t="n">
        <f aca="false">IF(B776="res",1000000,0)</f>
        <v>1000000</v>
      </c>
      <c r="I776" s="11" t="n">
        <f aca="false">IF(B776="mass",SQRT(E776*($B$2*3600)/(PI()*F776*G776)),0)</f>
        <v>0</v>
      </c>
      <c r="J776" s="10" t="n">
        <f aca="false">IF(B776="mass",D776/I776,0)</f>
        <v>0</v>
      </c>
      <c r="K776" s="7" t="str">
        <f aca="false">IF(B776="mass",COMPLEX(COSH(J776)*COS(J776),SINH(J776)*SIN(J776)),COMPLEX(1,0))</f>
        <v>1</v>
      </c>
      <c r="L776" s="7" t="str">
        <f aca="false">IF(B776="mass",COMPLEX(-I776/(2*E776)*(SINH(J776)*COS(J776)+COSH(J776)*SIN(J776)),-I776/(2*E776)*(COSH(J776)*SIN(J776)-SINH(J776)*COS(J776))),COMPLEX(-H776,0))</f>
        <v>-1000000</v>
      </c>
      <c r="M776" s="7" t="str">
        <f aca="false">IF(B776="mass",COMPLEX(-E776/I776*(SINH(J776)*COS(J776)-COSH(J776)*SIN(J776)),-E776/I776*(SINH(J776)*COS(J776)+COSH(J776)*SIN(J776))),COMPLEX(0,0))</f>
        <v>0</v>
      </c>
      <c r="N776" s="7" t="str">
        <f aca="false">K776</f>
        <v>1</v>
      </c>
      <c r="O776" s="7" t="str">
        <f aca="false">IMSUM(IMPRODUCT(K776,O775),IMPRODUCT(L776,Q775))</f>
        <v>-710221.286617665+8482028.98586353i</v>
      </c>
      <c r="P776" s="7" t="str">
        <f aca="false">IMSUM(IMPRODUCT(K776,P775),IMPRODUCT(L776,R775))</f>
        <v>-889600.234574209-1468266.81257288i</v>
      </c>
      <c r="Q776" s="7" t="str">
        <f aca="false">IMSUM(IMPRODUCT(M776,O775),IMPRODUCT(N776,Q775))</f>
        <v>0.710222276486137-8.48202875480135i</v>
      </c>
      <c r="R776" s="7" t="str">
        <f aca="false">IMSUM(IMPRODUCT(M776,P775),IMPRODUCT(N776,R775))</f>
        <v>0.889600035856143+1.46826677513609i</v>
      </c>
      <c r="S776" s="10" t="n">
        <f aca="false">IF(B776="mass",D776/E776,H776)</f>
        <v>1000000</v>
      </c>
      <c r="T776" s="12" t="n">
        <f aca="false">IF(B776="mass",F776*G776*D776,0)</f>
        <v>0</v>
      </c>
    </row>
    <row r="777" customFormat="false" ht="15" hidden="false" customHeight="false" outlineLevel="0" collapsed="false">
      <c r="A777" s="7" t="s">
        <v>52</v>
      </c>
      <c r="B777" s="7" t="s">
        <v>42</v>
      </c>
      <c r="H777" s="10" t="n">
        <f aca="false">IF($W$765="ext",0.04,IF($W$765="room",$Y$765,0))</f>
        <v>0</v>
      </c>
      <c r="I777" s="11" t="n">
        <f aca="false">IF(B777="mass",SQRT(E777*($B$2*3600)/(PI()*F777*G777)),0)</f>
        <v>0</v>
      </c>
      <c r="J777" s="10" t="n">
        <f aca="false">IF(B777="mass",D777/I777,0)</f>
        <v>0</v>
      </c>
      <c r="K777" s="7" t="str">
        <f aca="false">IF(B777="mass",COMPLEX(COSH(J777)*COS(J777),SINH(J777)*SIN(J777)),COMPLEX(1,0))</f>
        <v>1</v>
      </c>
      <c r="L777" s="7" t="str">
        <f aca="false">IF(B777="mass",COMPLEX(-I777/(2*E777)*(SINH(J777)*COS(J777)+COSH(J777)*SIN(J777)),-I777/(2*E777)*(COSH(J777)*SIN(J777)-SINH(J777)*COS(J777))),COMPLEX(-H777,0))</f>
        <v>-0</v>
      </c>
      <c r="M777" s="7" t="str">
        <f aca="false">IF(B777="mass",COMPLEX(-E777/I777*(SINH(J777)*COS(J777)-COSH(J777)*SIN(J777)),-E777/I777*(SINH(J777)*COS(J777)+COSH(J777)*SIN(J777))),COMPLEX(0,0))</f>
        <v>0</v>
      </c>
      <c r="N777" s="7" t="str">
        <f aca="false">K777</f>
        <v>1</v>
      </c>
      <c r="O777" s="7" t="str">
        <f aca="false">IMSUM(IMPRODUCT(K777,O776),IMPRODUCT(L777,Q776))</f>
        <v>-710221.286617665+8482028.98586353i</v>
      </c>
      <c r="P777" s="7" t="str">
        <f aca="false">IMSUM(IMPRODUCT(K777,P776),IMPRODUCT(L777,R776))</f>
        <v>-889600.234574209-1468266.81257288i</v>
      </c>
      <c r="Q777" s="7" t="str">
        <f aca="false">IMSUM(IMPRODUCT(M777,O776),IMPRODUCT(N777,Q776))</f>
        <v>0.710222276486137-8.48202875480135i</v>
      </c>
      <c r="R777" s="7" t="str">
        <f aca="false">IMSUM(IMPRODUCT(M777,P776),IMPRODUCT(N777,R776))</f>
        <v>0.889600035856143+1.46826677513609i</v>
      </c>
      <c r="S777" s="10" t="n">
        <f aca="false">IF(B777="mass",D777/E777,H777)</f>
        <v>0</v>
      </c>
      <c r="T777" s="12" t="n">
        <f aca="false">IF(B777="mass",F777*G777*D777,0)</f>
        <v>0</v>
      </c>
    </row>
    <row r="778" customFormat="false" ht="15" hidden="false" customHeight="false" outlineLevel="0" collapsed="false">
      <c r="A778" s="9" t="s">
        <v>53</v>
      </c>
      <c r="B778" s="13" t="str">
        <f aca="false">IF(OR($W$765="ext",$W$765="ground"),1/SUM(S767:S777),"–")</f>
        <v>–</v>
      </c>
      <c r="C778" s="9" t="s">
        <v>54</v>
      </c>
      <c r="D778" s="13" t="n">
        <f aca="false">IMABS(IMDIV(IMPRODUCT(O777,COMPLEX(-1,0)),P777))</f>
        <v>4.95806683436552</v>
      </c>
      <c r="E778" s="9" t="s">
        <v>55</v>
      </c>
      <c r="F778" s="14" t="n">
        <f aca="false">IMARGUMENT(IMDIV(IMPRODUCT(O777,COMPLEX(-1,0)),P777))*$B$2/(2*PI())</f>
        <v>2.39982525141484</v>
      </c>
      <c r="G778" s="9" t="s">
        <v>56</v>
      </c>
      <c r="H778" s="13" t="str">
        <f aca="false">IF($W$765="ext",IMABS(IMDIV(COMPLEX(-1,0),P777))*SUM(S767:S777),"–")</f>
        <v>–</v>
      </c>
      <c r="I778" s="9" t="s">
        <v>57</v>
      </c>
      <c r="J778" s="14" t="str">
        <f aca="false">IF($W$765="ext",MOD(-IMARGUMENT(IMDIV(COMPLEX(-1,0),P777))*$B$2/(2*PI()),24),"–")</f>
        <v>–</v>
      </c>
      <c r="K778" s="9" t="s">
        <v>58</v>
      </c>
      <c r="L778" s="15" t="n">
        <f aca="false">($B$2*3600)/(2*PI())*IMABS(IMDIV(IMSUB(O777,COMPLEX(1,0)),P777))/1000</f>
        <v>68.1783136650577</v>
      </c>
      <c r="M778" s="9" t="s">
        <v>59</v>
      </c>
      <c r="N778" s="15" t="n">
        <f aca="false">SUM(T768:T775)/1000</f>
        <v>116.9</v>
      </c>
      <c r="O778" s="9" t="s">
        <v>60</v>
      </c>
      <c r="P778" s="16" t="n">
        <f aca="false">SUM(S768:S775)</f>
        <v>0.0702477876106195</v>
      </c>
    </row>
    <row r="780" customFormat="false" ht="15" hidden="false" customHeight="false" outlineLevel="0" collapsed="false">
      <c r="A780" s="4" t="s">
        <v>143</v>
      </c>
    </row>
    <row r="781" customFormat="false" ht="15" hidden="false" customHeight="false" outlineLevel="0" collapsed="false">
      <c r="A781" s="9"/>
      <c r="B781" s="9" t="s">
        <v>62</v>
      </c>
      <c r="C781" s="9" t="s">
        <v>63</v>
      </c>
      <c r="D781" s="9"/>
      <c r="E781" s="9"/>
      <c r="F781" s="9"/>
      <c r="G781" s="9"/>
      <c r="H781" s="9"/>
      <c r="I781" s="9"/>
      <c r="J781" s="9"/>
      <c r="K781" s="9" t="s">
        <v>32</v>
      </c>
      <c r="L781" s="9" t="s">
        <v>33</v>
      </c>
      <c r="M781" s="9" t="s">
        <v>34</v>
      </c>
      <c r="N781" s="9" t="s">
        <v>35</v>
      </c>
      <c r="O781" s="9" t="s">
        <v>36</v>
      </c>
      <c r="P781" s="9" t="s">
        <v>37</v>
      </c>
      <c r="Q781" s="9" t="s">
        <v>38</v>
      </c>
      <c r="R781" s="9" t="s">
        <v>39</v>
      </c>
    </row>
    <row r="782" customFormat="false" ht="15" hidden="false" customHeight="false" outlineLevel="0" collapsed="false">
      <c r="A782" s="7" t="s">
        <v>22</v>
      </c>
      <c r="B782" s="7" t="s">
        <v>42</v>
      </c>
      <c r="C782" s="10" t="n">
        <f aca="false">$Y$765</f>
        <v>0.13</v>
      </c>
      <c r="K782" s="7" t="str">
        <f aca="false">COMPLEX(1,0)</f>
        <v>1</v>
      </c>
      <c r="L782" s="7" t="str">
        <f aca="false">COMPLEX(-C782,0)</f>
        <v>-0.13</v>
      </c>
      <c r="M782" s="7" t="str">
        <f aca="false">COMPLEX(0,0)</f>
        <v>0</v>
      </c>
      <c r="N782" s="7" t="str">
        <f aca="false">COMPLEX(1,0)</f>
        <v>1</v>
      </c>
      <c r="O782" s="7" t="str">
        <f aca="false">K782</f>
        <v>1</v>
      </c>
      <c r="P782" s="7" t="str">
        <f aca="false">L782</f>
        <v>-0.13</v>
      </c>
      <c r="Q782" s="7" t="str">
        <f aca="false">M782</f>
        <v>0</v>
      </c>
      <c r="R782" s="7" t="str">
        <f aca="false">N782</f>
        <v>1</v>
      </c>
    </row>
    <row r="783" customFormat="false" ht="15" hidden="false" customHeight="false" outlineLevel="0" collapsed="false">
      <c r="A783" s="7" t="s">
        <v>64</v>
      </c>
      <c r="B783" s="7" t="s">
        <v>65</v>
      </c>
      <c r="C783" s="10" t="n">
        <f aca="false">INDEX(Classes!$B$5:$F$9,MATCH(Engine!$C$764,Classes!$A$5:$A$9,0),5)*(N778*1000)</f>
        <v>14612.5</v>
      </c>
      <c r="K783" s="7" t="str">
        <f aca="false">COMPLEX(1,0)</f>
        <v>1</v>
      </c>
      <c r="L783" s="7" t="str">
        <f aca="false">COMPLEX(0,0)</f>
        <v>0</v>
      </c>
      <c r="M783" s="7" t="str">
        <f aca="false">COMPLEX(0,-(2*PI()/($B$2*3600))*C783)</f>
        <v>-1.06265098728196i</v>
      </c>
      <c r="N783" s="7" t="str">
        <f aca="false">COMPLEX(1,0)</f>
        <v>1</v>
      </c>
      <c r="O783" s="7" t="str">
        <f aca="false">IMSUM(IMPRODUCT(K783,O782),IMPRODUCT(L783,Q782))</f>
        <v>1</v>
      </c>
      <c r="P783" s="7" t="str">
        <f aca="false">IMSUM(IMPRODUCT(K783,P782),IMPRODUCT(L783,R782))</f>
        <v>-0.13</v>
      </c>
      <c r="Q783" s="7" t="str">
        <f aca="false">IMSUM(IMPRODUCT(M783,O782),IMPRODUCT(N783,Q782))</f>
        <v>-1.06265098728196i</v>
      </c>
      <c r="R783" s="7" t="str">
        <f aca="false">IMSUM(IMPRODUCT(M783,P782),IMPRODUCT(N783,R782))</f>
        <v>1+0.138144628346655i</v>
      </c>
    </row>
    <row r="784" customFormat="false" ht="15" hidden="false" customHeight="false" outlineLevel="0" collapsed="false">
      <c r="A784" s="7" t="s">
        <v>66</v>
      </c>
      <c r="B784" s="7" t="s">
        <v>42</v>
      </c>
      <c r="C784" s="10" t="n">
        <f aca="false">P778/6</f>
        <v>0.0117079646017699</v>
      </c>
      <c r="K784" s="7" t="str">
        <f aca="false">COMPLEX(1,0)</f>
        <v>1</v>
      </c>
      <c r="L784" s="7" t="str">
        <f aca="false">COMPLEX(-C784,0)</f>
        <v>-0.0117079646017699</v>
      </c>
      <c r="M784" s="7" t="str">
        <f aca="false">COMPLEX(0,0)</f>
        <v>0</v>
      </c>
      <c r="N784" s="7" t="str">
        <f aca="false">COMPLEX(1,0)</f>
        <v>1</v>
      </c>
      <c r="O784" s="7" t="str">
        <f aca="false">IMSUM(IMPRODUCT(K784,O783),IMPRODUCT(L784,Q783))</f>
        <v>1+0.012441480143133i</v>
      </c>
      <c r="P784" s="7" t="str">
        <f aca="false">IMSUM(IMPRODUCT(K784,P783),IMPRODUCT(L784,R783))</f>
        <v>-0.14170796460177-0.0016173924186073i</v>
      </c>
      <c r="Q784" s="7" t="str">
        <f aca="false">IMSUM(IMPRODUCT(M784,O783),IMPRODUCT(N784,Q783))</f>
        <v>-1.06265098728196i</v>
      </c>
      <c r="R784" s="7" t="str">
        <f aca="false">IMSUM(IMPRODUCT(M784,P783),IMPRODUCT(N784,R783))</f>
        <v>1+0.138144628346655i</v>
      </c>
    </row>
    <row r="785" customFormat="false" ht="15" hidden="false" customHeight="false" outlineLevel="0" collapsed="false">
      <c r="A785" s="7" t="s">
        <v>67</v>
      </c>
      <c r="B785" s="7" t="s">
        <v>65</v>
      </c>
      <c r="C785" s="10" t="n">
        <f aca="false">INDEX(Classes!$B$5:$F$9,MATCH(Engine!$C$764,Classes!$A$5:$A$9,0),4)*(N778*1000)</f>
        <v>29225</v>
      </c>
      <c r="K785" s="7" t="str">
        <f aca="false">COMPLEX(1,0)</f>
        <v>1</v>
      </c>
      <c r="L785" s="7" t="str">
        <f aca="false">COMPLEX(0,0)</f>
        <v>0</v>
      </c>
      <c r="M785" s="7" t="str">
        <f aca="false">COMPLEX(0,-(2*PI()/($B$2*3600))*C785)</f>
        <v>-2.12530197456393i</v>
      </c>
      <c r="N785" s="7" t="str">
        <f aca="false">COMPLEX(1,0)</f>
        <v>1</v>
      </c>
      <c r="O785" s="7" t="str">
        <f aca="false">IMSUM(IMPRODUCT(K785,O784),IMPRODUCT(L785,Q784))</f>
        <v>1+0.012441480143133i</v>
      </c>
      <c r="P785" s="7" t="str">
        <f aca="false">IMSUM(IMPRODUCT(K785,P784),IMPRODUCT(L785,R784))</f>
        <v>-0.14170796460177-0.0016173924186073i</v>
      </c>
      <c r="Q785" s="7" t="str">
        <f aca="false">IMSUM(IMPRODUCT(M785,O784),IMPRODUCT(N785,Q784))</f>
        <v>0.0264419023146985-3.18795296184589i</v>
      </c>
      <c r="R785" s="7" t="str">
        <f aca="false">IMSUM(IMPRODUCT(M785,P784),IMPRODUCT(N785,R784))</f>
        <v>0.996562552699089+0.439316845326232i</v>
      </c>
    </row>
    <row r="786" customFormat="false" ht="15" hidden="false" customHeight="false" outlineLevel="0" collapsed="false">
      <c r="A786" s="7" t="s">
        <v>68</v>
      </c>
      <c r="B786" s="7" t="s">
        <v>42</v>
      </c>
      <c r="C786" s="10" t="n">
        <f aca="false">P778/3</f>
        <v>0.0234159292035398</v>
      </c>
      <c r="K786" s="7" t="str">
        <f aca="false">COMPLEX(1,0)</f>
        <v>1</v>
      </c>
      <c r="L786" s="7" t="str">
        <f aca="false">COMPLEX(-C786,0)</f>
        <v>-0.0234159292035398</v>
      </c>
      <c r="M786" s="7" t="str">
        <f aca="false">COMPLEX(0,0)</f>
        <v>0</v>
      </c>
      <c r="N786" s="7" t="str">
        <f aca="false">COMPLEX(1,0)</f>
        <v>1</v>
      </c>
      <c r="O786" s="7" t="str">
        <f aca="false">IMSUM(IMPRODUCT(K786,O785),IMPRODUCT(L786,Q785))</f>
        <v>0.999380838287392+0.0870903610019314i</v>
      </c>
      <c r="P786" s="7" t="str">
        <f aca="false">IMSUM(IMPRODUCT(K786,P785),IMPRODUCT(L786,R785))</f>
        <v>-0.165043402782671-0.0119044045666888i</v>
      </c>
      <c r="Q786" s="7" t="str">
        <f aca="false">IMSUM(IMPRODUCT(M786,O785),IMPRODUCT(N786,Q785))</f>
        <v>0.0264419023146985-3.18795296184589i</v>
      </c>
      <c r="R786" s="7" t="str">
        <f aca="false">IMSUM(IMPRODUCT(M786,P785),IMPRODUCT(N786,R785))</f>
        <v>0.996562552699089+0.439316845326232i</v>
      </c>
    </row>
    <row r="787" customFormat="false" ht="15" hidden="false" customHeight="false" outlineLevel="0" collapsed="false">
      <c r="A787" s="7" t="s">
        <v>69</v>
      </c>
      <c r="B787" s="7" t="s">
        <v>65</v>
      </c>
      <c r="C787" s="10" t="n">
        <f aca="false">INDEX(Classes!$B$5:$F$9,MATCH(Engine!$C$764,Classes!$A$5:$A$9,0),3)*(N778*1000)</f>
        <v>29225</v>
      </c>
      <c r="K787" s="7" t="str">
        <f aca="false">COMPLEX(1,0)</f>
        <v>1</v>
      </c>
      <c r="L787" s="7" t="str">
        <f aca="false">COMPLEX(0,0)</f>
        <v>0</v>
      </c>
      <c r="M787" s="7" t="str">
        <f aca="false">COMPLEX(0,-(2*PI()/($B$2*3600))*C787)</f>
        <v>-2.12530197456393i</v>
      </c>
      <c r="N787" s="7" t="str">
        <f aca="false">COMPLEX(1,0)</f>
        <v>1</v>
      </c>
      <c r="O787" s="7" t="str">
        <f aca="false">IMSUM(IMPRODUCT(K787,O786),IMPRODUCT(L787,Q786))</f>
        <v>0.999380838287392+0.0870903610019314i</v>
      </c>
      <c r="P787" s="7" t="str">
        <f aca="false">IMSUM(IMPRODUCT(K787,P786),IMPRODUCT(L787,R786))</f>
        <v>-0.165043402782671-0.0119044045666888i</v>
      </c>
      <c r="Q787" s="7" t="str">
        <f aca="false">IMSUM(IMPRODUCT(M787,O786),IMPRODUCT(N787,Q786))</f>
        <v>0.211535218517589-5.31193903079944i</v>
      </c>
      <c r="R787" s="7" t="str">
        <f aca="false">IMSUM(IMPRODUCT(M787,P786),IMPRODUCT(N787,R786))</f>
        <v>0.971262098167497+0.790083915148993i</v>
      </c>
    </row>
    <row r="788" customFormat="false" ht="15" hidden="false" customHeight="false" outlineLevel="0" collapsed="false">
      <c r="A788" s="7" t="s">
        <v>68</v>
      </c>
      <c r="B788" s="7" t="s">
        <v>42</v>
      </c>
      <c r="C788" s="10" t="n">
        <f aca="false">P778/3</f>
        <v>0.0234159292035398</v>
      </c>
      <c r="K788" s="7" t="str">
        <f aca="false">COMPLEX(1,0)</f>
        <v>1</v>
      </c>
      <c r="L788" s="7" t="str">
        <f aca="false">COMPLEX(-C788,0)</f>
        <v>-0.0234159292035398</v>
      </c>
      <c r="M788" s="7" t="str">
        <f aca="false">COMPLEX(0,0)</f>
        <v>0</v>
      </c>
      <c r="N788" s="7" t="str">
        <f aca="false">COMPLEX(1,0)</f>
        <v>1</v>
      </c>
      <c r="O788" s="7" t="str">
        <f aca="false">IMSUM(IMPRODUCT(K788,O787),IMPRODUCT(L788,Q787))</f>
        <v>0.994427544586529+0.211474349280651i</v>
      </c>
      <c r="P788" s="7" t="str">
        <f aca="false">IMSUM(IMPRODUCT(K788,P787),IMPRODUCT(L788,R787))</f>
        <v>-0.187786407311443-0.0304049535886732i</v>
      </c>
      <c r="Q788" s="7" t="str">
        <f aca="false">IMSUM(IMPRODUCT(M788,O787),IMPRODUCT(N788,Q787))</f>
        <v>0.211535218517589-5.31193903079944i</v>
      </c>
      <c r="R788" s="7" t="str">
        <f aca="false">IMSUM(IMPRODUCT(M788,P787),IMPRODUCT(N788,R787))</f>
        <v>0.971262098167497+0.790083915148993i</v>
      </c>
    </row>
    <row r="789" customFormat="false" ht="15" hidden="false" customHeight="false" outlineLevel="0" collapsed="false">
      <c r="A789" s="7" t="s">
        <v>70</v>
      </c>
      <c r="B789" s="7" t="s">
        <v>65</v>
      </c>
      <c r="C789" s="10" t="n">
        <f aca="false">INDEX(Classes!$B$5:$F$9,MATCH(Engine!$C$764,Classes!$A$5:$A$9,0),2)*(N778*1000)</f>
        <v>29225</v>
      </c>
      <c r="K789" s="7" t="str">
        <f aca="false">COMPLEX(1,0)</f>
        <v>1</v>
      </c>
      <c r="L789" s="7" t="str">
        <f aca="false">COMPLEX(0,0)</f>
        <v>0</v>
      </c>
      <c r="M789" s="7" t="str">
        <f aca="false">COMPLEX(0,-(2*PI()/($B$2*3600))*C789)</f>
        <v>-2.12530197456393i</v>
      </c>
      <c r="N789" s="7" t="str">
        <f aca="false">COMPLEX(1,0)</f>
        <v>1</v>
      </c>
      <c r="O789" s="7" t="str">
        <f aca="false">IMSUM(IMPRODUCT(K789,O788),IMPRODUCT(L789,Q788))</f>
        <v>0.994427544586529+0.211474349280651i</v>
      </c>
      <c r="P789" s="7" t="str">
        <f aca="false">IMSUM(IMPRODUCT(K789,P788),IMPRODUCT(L789,R788))</f>
        <v>-0.187786407311443-0.0304049535886732i</v>
      </c>
      <c r="Q789" s="7" t="str">
        <f aca="false">IMSUM(IMPRODUCT(M789,O788),IMPRODUCT(N789,Q788))</f>
        <v>0.660982070613379-7.42539785486995i</v>
      </c>
      <c r="R789" s="7" t="str">
        <f aca="false">IMSUM(IMPRODUCT(M789,P788),IMPRODUCT(N789,R788))</f>
        <v>0.906642390268965+1.18918673740427i</v>
      </c>
    </row>
    <row r="790" customFormat="false" ht="15" hidden="false" customHeight="false" outlineLevel="0" collapsed="false">
      <c r="A790" s="7" t="s">
        <v>66</v>
      </c>
      <c r="B790" s="7" t="s">
        <v>42</v>
      </c>
      <c r="C790" s="10" t="n">
        <f aca="false">P778/6</f>
        <v>0.0117079646017699</v>
      </c>
      <c r="K790" s="7" t="str">
        <f aca="false">COMPLEX(1,0)</f>
        <v>1</v>
      </c>
      <c r="L790" s="7" t="str">
        <f aca="false">COMPLEX(-C790,0)</f>
        <v>-0.0117079646017699</v>
      </c>
      <c r="M790" s="7" t="str">
        <f aca="false">COMPLEX(0,0)</f>
        <v>0</v>
      </c>
      <c r="N790" s="7" t="str">
        <f aca="false">COMPLEX(1,0)</f>
        <v>1</v>
      </c>
      <c r="O790" s="7" t="str">
        <f aca="false">IMSUM(IMPRODUCT(K790,O789),IMPRODUCT(L790,Q789))</f>
        <v>0.986688789901383+0.298410644519527i</v>
      </c>
      <c r="P790" s="7" t="str">
        <f aca="false">IMSUM(IMPRODUCT(K790,P789),IMPRODUCT(L790,R789))</f>
        <v>-0.198401344323176-0.0443279098150966i</v>
      </c>
      <c r="Q790" s="7" t="str">
        <f aca="false">IMSUM(IMPRODUCT(M790,O789),IMPRODUCT(N790,Q789))</f>
        <v>0.660982070613379-7.42539785486995i</v>
      </c>
      <c r="R790" s="7" t="str">
        <f aca="false">IMSUM(IMPRODUCT(M790,P789),IMPRODUCT(N790,R789))</f>
        <v>0.906642390268965+1.18918673740427i</v>
      </c>
    </row>
    <row r="791" customFormat="false" ht="15" hidden="false" customHeight="false" outlineLevel="0" collapsed="false">
      <c r="A791" s="7" t="s">
        <v>71</v>
      </c>
      <c r="B791" s="7" t="s">
        <v>65</v>
      </c>
      <c r="C791" s="10" t="n">
        <f aca="false">INDEX(Classes!$B$5:$F$9,MATCH(Engine!$C$764,Classes!$A$5:$A$9,0),1)*(N778*1000)</f>
        <v>14612.5</v>
      </c>
      <c r="K791" s="7" t="str">
        <f aca="false">COMPLEX(1,0)</f>
        <v>1</v>
      </c>
      <c r="L791" s="7" t="str">
        <f aca="false">COMPLEX(0,0)</f>
        <v>0</v>
      </c>
      <c r="M791" s="7" t="str">
        <f aca="false">COMPLEX(0,-(2*PI()/($B$2*3600))*C791)</f>
        <v>-1.06265098728196i</v>
      </c>
      <c r="N791" s="7" t="str">
        <f aca="false">COMPLEX(1,0)</f>
        <v>1</v>
      </c>
      <c r="O791" s="7" t="str">
        <f aca="false">IMSUM(IMPRODUCT(K791,O790),IMPRODUCT(L791,Q790))</f>
        <v>0.986688789901383+0.298410644519527i</v>
      </c>
      <c r="P791" s="7" t="str">
        <f aca="false">IMSUM(IMPRODUCT(K791,P790),IMPRODUCT(L791,R790))</f>
        <v>-0.198401344323176-0.0443279098150966i</v>
      </c>
      <c r="Q791" s="7" t="str">
        <f aca="false">IMSUM(IMPRODUCT(M791,O790),IMPRODUCT(N791,Q790))</f>
        <v>0.9780884366275-8.4739036715987i</v>
      </c>
      <c r="R791" s="7" t="str">
        <f aca="false">IMSUM(IMPRODUCT(M791,P790),IMPRODUCT(N791,R790))</f>
        <v>0.859537293139807+1.40001812182736i</v>
      </c>
    </row>
    <row r="792" customFormat="false" ht="15" hidden="false" customHeight="false" outlineLevel="0" collapsed="false">
      <c r="A792" s="7" t="s">
        <v>72</v>
      </c>
      <c r="B792" s="7" t="s">
        <v>73</v>
      </c>
      <c r="K792" s="7" t="str">
        <f aca="false">K776</f>
        <v>1</v>
      </c>
      <c r="L792" s="7" t="str">
        <f aca="false">L776</f>
        <v>-1000000</v>
      </c>
      <c r="M792" s="7" t="str">
        <f aca="false">M776</f>
        <v>0</v>
      </c>
      <c r="N792" s="7" t="str">
        <f aca="false">N776</f>
        <v>1</v>
      </c>
      <c r="O792" s="7" t="str">
        <f aca="false">IMSUM(IMPRODUCT(K792,O791),IMPRODUCT(L792,Q791))</f>
        <v>-978087.44993871+8473903.97000935i</v>
      </c>
      <c r="P792" s="7" t="str">
        <f aca="false">IMSUM(IMPRODUCT(K792,P791),IMPRODUCT(L792,R791))</f>
        <v>-859537.491541151-1400018.16615527i</v>
      </c>
      <c r="Q792" s="7" t="str">
        <f aca="false">IMSUM(IMPRODUCT(M792,O791),IMPRODUCT(N792,Q791))</f>
        <v>0.9780884366275-8.4739036715987i</v>
      </c>
      <c r="R792" s="7" t="str">
        <f aca="false">IMSUM(IMPRODUCT(M792,P791),IMPRODUCT(N792,R791))</f>
        <v>0.859537293139807+1.40001812182736i</v>
      </c>
    </row>
    <row r="793" customFormat="false" ht="15" hidden="false" customHeight="false" outlineLevel="0" collapsed="false">
      <c r="A793" s="7" t="s">
        <v>52</v>
      </c>
      <c r="B793" s="7" t="s">
        <v>73</v>
      </c>
      <c r="K793" s="7" t="str">
        <f aca="false">K777</f>
        <v>1</v>
      </c>
      <c r="L793" s="7" t="str">
        <f aca="false">L777</f>
        <v>-0</v>
      </c>
      <c r="M793" s="7" t="str">
        <f aca="false">M777</f>
        <v>0</v>
      </c>
      <c r="N793" s="7" t="str">
        <f aca="false">N777</f>
        <v>1</v>
      </c>
      <c r="O793" s="7" t="str">
        <f aca="false">IMSUM(IMPRODUCT(K793,O792),IMPRODUCT(L793,Q792))</f>
        <v>-978087.44993871+8473903.97000935i</v>
      </c>
      <c r="P793" s="7" t="str">
        <f aca="false">IMSUM(IMPRODUCT(K793,P792),IMPRODUCT(L793,R792))</f>
        <v>-859537.491541151-1400018.16615527i</v>
      </c>
      <c r="Q793" s="7" t="str">
        <f aca="false">IMSUM(IMPRODUCT(M793,O792),IMPRODUCT(N793,Q792))</f>
        <v>0.9780884366275-8.4739036715987i</v>
      </c>
      <c r="R793" s="7" t="str">
        <f aca="false">IMSUM(IMPRODUCT(M793,P792),IMPRODUCT(N793,R792))</f>
        <v>0.859537293139807+1.40001812182736i</v>
      </c>
    </row>
    <row r="794" customFormat="false" ht="15" hidden="false" customHeight="false" outlineLevel="0" collapsed="false">
      <c r="A794" s="9" t="s">
        <v>74</v>
      </c>
      <c r="B794" s="13" t="n">
        <f aca="false">IMABS(IMDIV(IMPRODUCT(O793,COMPLEX(-1,0)),P793))</f>
        <v>5.19239324705858</v>
      </c>
    </row>
    <row r="797" customFormat="false" ht="15" hidden="false" customHeight="false" outlineLevel="0" collapsed="false">
      <c r="A797" s="4" t="s">
        <v>144</v>
      </c>
      <c r="B797" s="9" t="s">
        <v>18</v>
      </c>
      <c r="C797" s="7" t="str">
        <f aca="false">INDEX(Library!$F$5:$F$34,MATCH(A797,Library!$A$5:$A$34,0))</f>
        <v>D</v>
      </c>
    </row>
    <row r="798" customFormat="false" ht="15" hidden="false" customHeight="false" outlineLevel="0" collapsed="false">
      <c r="A798" s="4" t="s">
        <v>145</v>
      </c>
      <c r="T798" s="9" t="s">
        <v>20</v>
      </c>
      <c r="U798" s="7" t="n">
        <f aca="false">MATCH($A$797,Library!$A$5:$A$34,0)</f>
        <v>25</v>
      </c>
      <c r="V798" s="9" t="s">
        <v>21</v>
      </c>
      <c r="W798" s="7" t="str">
        <f aca="false">INDEX(Library!$D$5:$D$34,$U$798)</f>
        <v>adiabatic</v>
      </c>
      <c r="X798" s="9" t="s">
        <v>22</v>
      </c>
      <c r="Y798" s="7" t="n">
        <f aca="false">INDEX(Library!$E$5:$E$34,$U$798)</f>
        <v>0.13</v>
      </c>
    </row>
    <row r="799" customFormat="false" ht="15" hidden="false" customHeight="false" outlineLevel="0" collapsed="false">
      <c r="A799" s="9"/>
      <c r="B799" s="9" t="s">
        <v>23</v>
      </c>
      <c r="C799" s="9" t="s">
        <v>24</v>
      </c>
      <c r="D799" s="9" t="s">
        <v>25</v>
      </c>
      <c r="E799" s="9" t="s">
        <v>26</v>
      </c>
      <c r="F799" s="9" t="s">
        <v>27</v>
      </c>
      <c r="G799" s="9" t="s">
        <v>28</v>
      </c>
      <c r="H799" s="9" t="s">
        <v>29</v>
      </c>
      <c r="I799" s="9" t="s">
        <v>30</v>
      </c>
      <c r="J799" s="9" t="s">
        <v>31</v>
      </c>
      <c r="K799" s="9" t="s">
        <v>32</v>
      </c>
      <c r="L799" s="9" t="s">
        <v>33</v>
      </c>
      <c r="M799" s="9" t="s">
        <v>34</v>
      </c>
      <c r="N799" s="9" t="s">
        <v>35</v>
      </c>
      <c r="O799" s="9" t="s">
        <v>36</v>
      </c>
      <c r="P799" s="9" t="s">
        <v>37</v>
      </c>
      <c r="Q799" s="9" t="s">
        <v>38</v>
      </c>
      <c r="R799" s="9" t="s">
        <v>39</v>
      </c>
      <c r="S799" s="9" t="s">
        <v>40</v>
      </c>
      <c r="T799" s="9" t="s">
        <v>41</v>
      </c>
    </row>
    <row r="800" customFormat="false" ht="15" hidden="false" customHeight="false" outlineLevel="0" collapsed="false">
      <c r="A800" s="7" t="s">
        <v>22</v>
      </c>
      <c r="B800" s="7" t="s">
        <v>42</v>
      </c>
      <c r="H800" s="10" t="n">
        <f aca="false">$Y$798</f>
        <v>0.13</v>
      </c>
      <c r="I800" s="11" t="n">
        <f aca="false">IF(B800="mass",SQRT(E800*($B$2*3600)/(PI()*F800*G800)),0)</f>
        <v>0</v>
      </c>
      <c r="J800" s="10" t="n">
        <f aca="false">IF(B800="mass",D800/I800,0)</f>
        <v>0</v>
      </c>
      <c r="K800" s="7" t="str">
        <f aca="false">IF(B800="mass",COMPLEX(COSH(J800)*COS(J800),SINH(J800)*SIN(J800)),COMPLEX(1,0))</f>
        <v>1</v>
      </c>
      <c r="L800" s="7" t="str">
        <f aca="false">IF(B800="mass",COMPLEX(-I800/(2*E800)*(SINH(J800)*COS(J800)+COSH(J800)*SIN(J800)),-I800/(2*E800)*(COSH(J800)*SIN(J800)-SINH(J800)*COS(J800))),COMPLEX(-H800,0))</f>
        <v>-0.13</v>
      </c>
      <c r="M800" s="7" t="str">
        <f aca="false">IF(B800="mass",COMPLEX(-E800/I800*(SINH(J800)*COS(J800)-COSH(J800)*SIN(J800)),-E800/I800*(SINH(J800)*COS(J800)+COSH(J800)*SIN(J800))),COMPLEX(0,0))</f>
        <v>0</v>
      </c>
      <c r="N800" s="7" t="str">
        <f aca="false">K800</f>
        <v>1</v>
      </c>
      <c r="O800" s="7" t="str">
        <f aca="false">K800</f>
        <v>1</v>
      </c>
      <c r="P800" s="7" t="str">
        <f aca="false">L800</f>
        <v>-0.13</v>
      </c>
      <c r="Q800" s="7" t="str">
        <f aca="false">M800</f>
        <v>0</v>
      </c>
      <c r="R800" s="7" t="str">
        <f aca="false">N800</f>
        <v>1</v>
      </c>
      <c r="S800" s="10" t="n">
        <f aca="false">IF(B800="mass",D800/E800,H800)</f>
        <v>0.13</v>
      </c>
      <c r="T800" s="12" t="n">
        <f aca="false">IF(B800="mass",F800*G800*D800,0)</f>
        <v>0</v>
      </c>
    </row>
    <row r="801" customFormat="false" ht="15" hidden="false" customHeight="false" outlineLevel="0" collapsed="false">
      <c r="A801" s="7" t="s">
        <v>43</v>
      </c>
      <c r="B801" s="7" t="str">
        <f aca="false">IF(C801="","none",IF(C801="Cavity","res","mass"))</f>
        <v>mass</v>
      </c>
      <c r="C801" s="7" t="str">
        <f aca="false">IF(INDEX(Library!$G$5:$G$34,$U$798)="","",INDEX(Library!$G$5:$G$34,$U$798))</f>
        <v>gypsum plaster</v>
      </c>
      <c r="D801" s="11" t="n">
        <f aca="false">IF(B801="mass",INDEX(Library!$H$5:$H$34,$U$798)/1000,0)</f>
        <v>0.013</v>
      </c>
      <c r="E801" s="7" t="n">
        <f aca="false">IF(B801="mass",INDEX(Materials!$B$5:$B$28,MATCH(C801,Materials!$A$5:$A$28,0)),0)</f>
        <v>0.5</v>
      </c>
      <c r="F801" s="7" t="n">
        <f aca="false">IF(B801="mass",INDEX(Materials!$C$5:$C$28,MATCH(C801,Materials!$A$5:$A$28,0)),0)</f>
        <v>1300</v>
      </c>
      <c r="G801" s="7" t="n">
        <f aca="false">IF(B801="mass",INDEX(Materials!$D$5:$D$28,MATCH(C801,Materials!$A$5:$A$28,0)),0)</f>
        <v>1000</v>
      </c>
      <c r="H801" s="10" t="n">
        <f aca="false">IF(B801="res",INDEX(Library!$H$5:$H$34,$U$798),0)</f>
        <v>0</v>
      </c>
      <c r="I801" s="11" t="n">
        <f aca="false">IF(B801="mass",SQRT(E801*($B$2*3600)/(PI()*F801*G801)),0)</f>
        <v>0.102847860316323</v>
      </c>
      <c r="J801" s="10" t="n">
        <f aca="false">IF(B801="mass",D801/I801,0)</f>
        <v>0.126400296126887</v>
      </c>
      <c r="K801" s="7" t="str">
        <f aca="false">IF(B801="mass",COMPLEX(COSH(J801)*COS(J801),SINH(J801)*SIN(J801)),COMPLEX(1,0))</f>
        <v>0.999957455752033+0.0159769895455509i</v>
      </c>
      <c r="L801" s="7" t="str">
        <f aca="false">IF(B801="mass",COMPLEX(-I801/(2*E801)*(SINH(J801)*COS(J801)+COSH(J801)*SIN(J801)),-I801/(2*E801)*(COSH(J801)*SIN(J801)-SINH(J801)*COS(J801))),COMPLEX(-H801,0))</f>
        <v>-0.0259997787698508-0.00013846746714729i</v>
      </c>
      <c r="M801" s="7" t="str">
        <f aca="false">IF(B801="mass",COMPLEX(-E801/I801*(SINH(J801)*COS(J801)-COSH(J801)*SIN(J801)),-E801/I801*(SINH(J801)*COS(J801)+COSH(J801)*SIN(J801))),COMPLEX(0,0))</f>
        <v>0.00654526494000515-1.22899222421088i</v>
      </c>
      <c r="N801" s="7" t="str">
        <f aca="false">K801</f>
        <v>0.999957455752033+0.0159769895455509i</v>
      </c>
      <c r="O801" s="7" t="str">
        <f aca="false">IMSUM(IMPRODUCT(K801,O800),IMPRODUCT(L801,Q800))</f>
        <v>0.999957455752033+0.0159769895455509i</v>
      </c>
      <c r="P801" s="7" t="str">
        <f aca="false">IMSUM(IMPRODUCT(K801,P800),IMPRODUCT(L801,R800))</f>
        <v>-0.155994248017615-0.00221547610806891i</v>
      </c>
      <c r="Q801" s="7" t="str">
        <f aca="false">IMSUM(IMPRODUCT(M801,O800),IMPRODUCT(N801,Q800))</f>
        <v>0.00654526494000515-1.22899222421088i</v>
      </c>
      <c r="R801" s="7" t="str">
        <f aca="false">IMSUM(IMPRODUCT(M801,P800),IMPRODUCT(N801,R800))</f>
        <v>0.999106571309832+0.175745978692965i</v>
      </c>
      <c r="S801" s="10" t="n">
        <f aca="false">IF(B801="mass",D801/E801,H801)</f>
        <v>0.026</v>
      </c>
      <c r="T801" s="12" t="n">
        <f aca="false">IF(B801="mass",F801*G801*D801,0)</f>
        <v>16900</v>
      </c>
    </row>
    <row r="802" customFormat="false" ht="15" hidden="false" customHeight="false" outlineLevel="0" collapsed="false">
      <c r="A802" s="7" t="s">
        <v>44</v>
      </c>
      <c r="B802" s="7" t="str">
        <f aca="false">IF(C802="","none",IF(C802="Cavity","res","mass"))</f>
        <v>mass</v>
      </c>
      <c r="C802" s="7" t="str">
        <f aca="false">IF(INDEX(Library!$I$5:$I$34,$U$798)="","",INDEX(Library!$I$5:$I$34,$U$798))</f>
        <v>aerated block</v>
      </c>
      <c r="D802" s="11" t="n">
        <f aca="false">IF(B802="mass",INDEX(Library!$J$5:$J$34,$U$798)/1000,0)</f>
        <v>0.05</v>
      </c>
      <c r="E802" s="7" t="n">
        <f aca="false">IF(B802="mass",INDEX(Materials!$B$5:$B$28,MATCH(C802,Materials!$A$5:$A$28,0)),0)</f>
        <v>0.15</v>
      </c>
      <c r="F802" s="7" t="n">
        <f aca="false">IF(B802="mass",INDEX(Materials!$C$5:$C$28,MATCH(C802,Materials!$A$5:$A$28,0)),0)</f>
        <v>600</v>
      </c>
      <c r="G802" s="7" t="n">
        <f aca="false">IF(B802="mass",INDEX(Materials!$D$5:$D$28,MATCH(C802,Materials!$A$5:$A$28,0)),0)</f>
        <v>1000</v>
      </c>
      <c r="H802" s="10" t="n">
        <f aca="false">IF(B802="res",INDEX(Library!$J$5:$J$34,$U$798),0)</f>
        <v>0</v>
      </c>
      <c r="I802" s="11" t="n">
        <f aca="false">IF(B802="mass",SQRT(E802*($B$2*3600)/(PI()*F802*G802)),0)</f>
        <v>0.0829185958731205</v>
      </c>
      <c r="J802" s="10" t="n">
        <f aca="false">IF(B802="mass",D802/I802,0)</f>
        <v>0.603001045465223</v>
      </c>
      <c r="K802" s="7" t="str">
        <f aca="false">IF(B802="mass",COMPLEX(COSH(J802)*COS(J802),SINH(J802)*SIN(J802)),COMPLEX(1,0))</f>
        <v>0.977971532618143+0.363076163622444i</v>
      </c>
      <c r="L802" s="7" t="str">
        <f aca="false">IF(B802="mass",COMPLEX(-I802/(2*E802)*(SINH(J802)*COS(J802)+COSH(J802)*SIN(J802)),-I802/(2*E802)*(COSH(J802)*SIN(J802)-SINH(J802)*COS(J802))),COMPLEX(-H802,0))</f>
        <v>-0.331864563326253-0.0403757059214855i</v>
      </c>
      <c r="M802" s="7" t="str">
        <f aca="false">IF(B802="mass",COMPLEX(-E802/I802*(SINH(J802)*COS(J802)-COSH(J802)*SIN(J802)),-E802/I802*(SINH(J802)*COS(J802)+COSH(J802)*SIN(J802))),COMPLEX(0,0))</f>
        <v>0.264258377305085-2.17204848777613i</v>
      </c>
      <c r="N802" s="7" t="str">
        <f aca="false">K802</f>
        <v>0.977971532618143+0.363076163622444i</v>
      </c>
      <c r="O802" s="7" t="str">
        <f aca="false">IMSUM(IMPRODUCT(K802,O801),IMPRODUCT(L802,Q801))</f>
        <v>0.92033549136862+0.786280455899304i</v>
      </c>
      <c r="P802" s="7" t="str">
        <f aca="false">IMSUM(IMPRODUCT(K802,P801),IMPRODUCT(L802,R801))</f>
        <v>-0.476225745299024-0.157467961265006i</v>
      </c>
      <c r="Q802" s="7" t="str">
        <f aca="false">IMSUM(IMPRODUCT(M802,O801),IMPRODUCT(N802,Q801))</f>
        <v>0.751568795285853-3.36727700567813i</v>
      </c>
      <c r="R802" s="7" t="str">
        <f aca="false">IMSUM(IMPRODUCT(M802,P801),IMPRODUCT(N802,R801))</f>
        <v>0.867253700696524+0.872867957482141i</v>
      </c>
      <c r="S802" s="10" t="n">
        <f aca="false">IF(B802="mass",D802/E802,H802)</f>
        <v>0.333333333333333</v>
      </c>
      <c r="T802" s="12" t="n">
        <f aca="false">IF(B802="mass",F802*G802*D802,0)</f>
        <v>30000</v>
      </c>
    </row>
    <row r="803" customFormat="false" ht="15" hidden="false" customHeight="false" outlineLevel="0" collapsed="false">
      <c r="A803" s="7" t="s">
        <v>45</v>
      </c>
      <c r="B803" s="7" t="str">
        <f aca="false">IF(C803="","none",IF(C803="Cavity","res","mass"))</f>
        <v>none</v>
      </c>
      <c r="C803" s="7" t="str">
        <f aca="false">IF(INDEX(Library!$K$5:$K$34,$U$798)="","",INDEX(Library!$K$5:$K$34,$U$798))</f>
        <v/>
      </c>
      <c r="D803" s="11" t="n">
        <f aca="false">IF(B803="mass",INDEX(Library!$L$5:$L$34,$U$798)/1000,0)</f>
        <v>0</v>
      </c>
      <c r="E803" s="7" t="n">
        <f aca="false">IF(B803="mass",INDEX(Materials!$B$5:$B$28,MATCH(C803,Materials!$A$5:$A$28,0)),0)</f>
        <v>0</v>
      </c>
      <c r="F803" s="7" t="n">
        <f aca="false">IF(B803="mass",INDEX(Materials!$C$5:$C$28,MATCH(C803,Materials!$A$5:$A$28,0)),0)</f>
        <v>0</v>
      </c>
      <c r="G803" s="7" t="n">
        <f aca="false">IF(B803="mass",INDEX(Materials!$D$5:$D$28,MATCH(C803,Materials!$A$5:$A$28,0)),0)</f>
        <v>0</v>
      </c>
      <c r="H803" s="10" t="n">
        <f aca="false">IF(B803="res",INDEX(Library!$L$5:$L$34,$U$798),0)</f>
        <v>0</v>
      </c>
      <c r="I803" s="11" t="n">
        <f aca="false">IF(B803="mass",SQRT(E803*($B$2*3600)/(PI()*F803*G803)),0)</f>
        <v>0</v>
      </c>
      <c r="J803" s="10" t="n">
        <f aca="false">IF(B803="mass",D803/I803,0)</f>
        <v>0</v>
      </c>
      <c r="K803" s="7" t="str">
        <f aca="false">IF(B803="mass",COMPLEX(COSH(J803)*COS(J803),SINH(J803)*SIN(J803)),COMPLEX(1,0))</f>
        <v>1</v>
      </c>
      <c r="L803" s="7" t="str">
        <f aca="false">IF(B803="mass",COMPLEX(-I803/(2*E803)*(SINH(J803)*COS(J803)+COSH(J803)*SIN(J803)),-I803/(2*E803)*(COSH(J803)*SIN(J803)-SINH(J803)*COS(J803))),COMPLEX(-H803,0))</f>
        <v>-0</v>
      </c>
      <c r="M803" s="7" t="str">
        <f aca="false">IF(B803="mass",COMPLEX(-E803/I803*(SINH(J803)*COS(J803)-COSH(J803)*SIN(J803)),-E803/I803*(SINH(J803)*COS(J803)+COSH(J803)*SIN(J803))),COMPLEX(0,0))</f>
        <v>0</v>
      </c>
      <c r="N803" s="7" t="str">
        <f aca="false">K803</f>
        <v>1</v>
      </c>
      <c r="O803" s="7" t="str">
        <f aca="false">IMSUM(IMPRODUCT(K803,O802),IMPRODUCT(L803,Q802))</f>
        <v>0.92033549136862+0.786280455899304i</v>
      </c>
      <c r="P803" s="7" t="str">
        <f aca="false">IMSUM(IMPRODUCT(K803,P802),IMPRODUCT(L803,R802))</f>
        <v>-0.476225745299024-0.157467961265006i</v>
      </c>
      <c r="Q803" s="7" t="str">
        <f aca="false">IMSUM(IMPRODUCT(M803,O802),IMPRODUCT(N803,Q802))</f>
        <v>0.751568795285853-3.36727700567813i</v>
      </c>
      <c r="R803" s="7" t="str">
        <f aca="false">IMSUM(IMPRODUCT(M803,P802),IMPRODUCT(N803,R802))</f>
        <v>0.867253700696524+0.872867957482141i</v>
      </c>
      <c r="S803" s="10" t="n">
        <f aca="false">IF(B803="mass",D803/E803,H803)</f>
        <v>0</v>
      </c>
      <c r="T803" s="12" t="n">
        <f aca="false">IF(B803="mass",F803*G803*D803,0)</f>
        <v>0</v>
      </c>
    </row>
    <row r="804" customFormat="false" ht="15" hidden="false" customHeight="false" outlineLevel="0" collapsed="false">
      <c r="A804" s="7" t="s">
        <v>46</v>
      </c>
      <c r="B804" s="7" t="str">
        <f aca="false">IF(C804="","none",IF(C804="Cavity","res","mass"))</f>
        <v>none</v>
      </c>
      <c r="C804" s="7" t="str">
        <f aca="false">IF(INDEX(Library!$M$5:$M$34,$U$798)="","",INDEX(Library!$M$5:$M$34,$U$798))</f>
        <v/>
      </c>
      <c r="D804" s="11" t="n">
        <f aca="false">IF(B804="mass",INDEX(Library!$N$5:$N$34,$U$798)/1000,0)</f>
        <v>0</v>
      </c>
      <c r="E804" s="7" t="n">
        <f aca="false">IF(B804="mass",INDEX(Materials!$B$5:$B$28,MATCH(C804,Materials!$A$5:$A$28,0)),0)</f>
        <v>0</v>
      </c>
      <c r="F804" s="7" t="n">
        <f aca="false">IF(B804="mass",INDEX(Materials!$C$5:$C$28,MATCH(C804,Materials!$A$5:$A$28,0)),0)</f>
        <v>0</v>
      </c>
      <c r="G804" s="7" t="n">
        <f aca="false">IF(B804="mass",INDEX(Materials!$D$5:$D$28,MATCH(C804,Materials!$A$5:$A$28,0)),0)</f>
        <v>0</v>
      </c>
      <c r="H804" s="10" t="n">
        <f aca="false">IF(B804="res",INDEX(Library!$N$5:$N$34,$U$798),0)</f>
        <v>0</v>
      </c>
      <c r="I804" s="11" t="n">
        <f aca="false">IF(B804="mass",SQRT(E804*($B$2*3600)/(PI()*F804*G804)),0)</f>
        <v>0</v>
      </c>
      <c r="J804" s="10" t="n">
        <f aca="false">IF(B804="mass",D804/I804,0)</f>
        <v>0</v>
      </c>
      <c r="K804" s="7" t="str">
        <f aca="false">IF(B804="mass",COMPLEX(COSH(J804)*COS(J804),SINH(J804)*SIN(J804)),COMPLEX(1,0))</f>
        <v>1</v>
      </c>
      <c r="L804" s="7" t="str">
        <f aca="false">IF(B804="mass",COMPLEX(-I804/(2*E804)*(SINH(J804)*COS(J804)+COSH(J804)*SIN(J804)),-I804/(2*E804)*(COSH(J804)*SIN(J804)-SINH(J804)*COS(J804))),COMPLEX(-H804,0))</f>
        <v>-0</v>
      </c>
      <c r="M804" s="7" t="str">
        <f aca="false">IF(B804="mass",COMPLEX(-E804/I804*(SINH(J804)*COS(J804)-COSH(J804)*SIN(J804)),-E804/I804*(SINH(J804)*COS(J804)+COSH(J804)*SIN(J804))),COMPLEX(0,0))</f>
        <v>0</v>
      </c>
      <c r="N804" s="7" t="str">
        <f aca="false">K804</f>
        <v>1</v>
      </c>
      <c r="O804" s="7" t="str">
        <f aca="false">IMSUM(IMPRODUCT(K804,O803),IMPRODUCT(L804,Q803))</f>
        <v>0.92033549136862+0.786280455899304i</v>
      </c>
      <c r="P804" s="7" t="str">
        <f aca="false">IMSUM(IMPRODUCT(K804,P803),IMPRODUCT(L804,R803))</f>
        <v>-0.476225745299024-0.157467961265006i</v>
      </c>
      <c r="Q804" s="7" t="str">
        <f aca="false">IMSUM(IMPRODUCT(M804,O803),IMPRODUCT(N804,Q803))</f>
        <v>0.751568795285853-3.36727700567813i</v>
      </c>
      <c r="R804" s="7" t="str">
        <f aca="false">IMSUM(IMPRODUCT(M804,P803),IMPRODUCT(N804,R803))</f>
        <v>0.867253700696524+0.872867957482141i</v>
      </c>
      <c r="S804" s="10" t="n">
        <f aca="false">IF(B804="mass",D804/E804,H804)</f>
        <v>0</v>
      </c>
      <c r="T804" s="12" t="n">
        <f aca="false">IF(B804="mass",F804*G804*D804,0)</f>
        <v>0</v>
      </c>
    </row>
    <row r="805" customFormat="false" ht="15" hidden="false" customHeight="false" outlineLevel="0" collapsed="false">
      <c r="A805" s="7" t="s">
        <v>47</v>
      </c>
      <c r="B805" s="7" t="str">
        <f aca="false">IF(C805="","none",IF(C805="Cavity","res","mass"))</f>
        <v>none</v>
      </c>
      <c r="C805" s="7" t="str">
        <f aca="false">IF(INDEX(Library!$O$5:$O$34,$U$798)="","",INDEX(Library!$O$5:$O$34,$U$798))</f>
        <v/>
      </c>
      <c r="D805" s="11" t="n">
        <f aca="false">IF(B805="mass",INDEX(Library!$P$5:$P$34,$U$798)/1000,0)</f>
        <v>0</v>
      </c>
      <c r="E805" s="7" t="n">
        <f aca="false">IF(B805="mass",INDEX(Materials!$B$5:$B$28,MATCH(C805,Materials!$A$5:$A$28,0)),0)</f>
        <v>0</v>
      </c>
      <c r="F805" s="7" t="n">
        <f aca="false">IF(B805="mass",INDEX(Materials!$C$5:$C$28,MATCH(C805,Materials!$A$5:$A$28,0)),0)</f>
        <v>0</v>
      </c>
      <c r="G805" s="7" t="n">
        <f aca="false">IF(B805="mass",INDEX(Materials!$D$5:$D$28,MATCH(C805,Materials!$A$5:$A$28,0)),0)</f>
        <v>0</v>
      </c>
      <c r="H805" s="10" t="n">
        <f aca="false">IF(B805="res",INDEX(Library!$P$5:$P$34,$U$798),0)</f>
        <v>0</v>
      </c>
      <c r="I805" s="11" t="n">
        <f aca="false">IF(B805="mass",SQRT(E805*($B$2*3600)/(PI()*F805*G805)),0)</f>
        <v>0</v>
      </c>
      <c r="J805" s="10" t="n">
        <f aca="false">IF(B805="mass",D805/I805,0)</f>
        <v>0</v>
      </c>
      <c r="K805" s="7" t="str">
        <f aca="false">IF(B805="mass",COMPLEX(COSH(J805)*COS(J805),SINH(J805)*SIN(J805)),COMPLEX(1,0))</f>
        <v>1</v>
      </c>
      <c r="L805" s="7" t="str">
        <f aca="false">IF(B805="mass",COMPLEX(-I805/(2*E805)*(SINH(J805)*COS(J805)+COSH(J805)*SIN(J805)),-I805/(2*E805)*(COSH(J805)*SIN(J805)-SINH(J805)*COS(J805))),COMPLEX(-H805,0))</f>
        <v>-0</v>
      </c>
      <c r="M805" s="7" t="str">
        <f aca="false">IF(B805="mass",COMPLEX(-E805/I805*(SINH(J805)*COS(J805)-COSH(J805)*SIN(J805)),-E805/I805*(SINH(J805)*COS(J805)+COSH(J805)*SIN(J805))),COMPLEX(0,0))</f>
        <v>0</v>
      </c>
      <c r="N805" s="7" t="str">
        <f aca="false">K805</f>
        <v>1</v>
      </c>
      <c r="O805" s="7" t="str">
        <f aca="false">IMSUM(IMPRODUCT(K805,O804),IMPRODUCT(L805,Q804))</f>
        <v>0.92033549136862+0.786280455899304i</v>
      </c>
      <c r="P805" s="7" t="str">
        <f aca="false">IMSUM(IMPRODUCT(K805,P804),IMPRODUCT(L805,R804))</f>
        <v>-0.476225745299024-0.157467961265006i</v>
      </c>
      <c r="Q805" s="7" t="str">
        <f aca="false">IMSUM(IMPRODUCT(M805,O804),IMPRODUCT(N805,Q804))</f>
        <v>0.751568795285853-3.36727700567813i</v>
      </c>
      <c r="R805" s="7" t="str">
        <f aca="false">IMSUM(IMPRODUCT(M805,P804),IMPRODUCT(N805,R804))</f>
        <v>0.867253700696524+0.872867957482141i</v>
      </c>
      <c r="S805" s="10" t="n">
        <f aca="false">IF(B805="mass",D805/E805,H805)</f>
        <v>0</v>
      </c>
      <c r="T805" s="12" t="n">
        <f aca="false">IF(B805="mass",F805*G805*D805,0)</f>
        <v>0</v>
      </c>
    </row>
    <row r="806" customFormat="false" ht="15" hidden="false" customHeight="false" outlineLevel="0" collapsed="false">
      <c r="A806" s="7" t="s">
        <v>48</v>
      </c>
      <c r="B806" s="7" t="str">
        <f aca="false">IF(C806="","none",IF(C806="Cavity","res","mass"))</f>
        <v>none</v>
      </c>
      <c r="C806" s="7" t="str">
        <f aca="false">IF(INDEX(Library!$Q$5:$Q$34,$U$798)="","",INDEX(Library!$Q$5:$Q$34,$U$798))</f>
        <v/>
      </c>
      <c r="D806" s="11" t="n">
        <f aca="false">IF(B806="mass",INDEX(Library!$R$5:$R$34,$U$798)/1000,0)</f>
        <v>0</v>
      </c>
      <c r="E806" s="7" t="n">
        <f aca="false">IF(B806="mass",INDEX(Materials!$B$5:$B$28,MATCH(C806,Materials!$A$5:$A$28,0)),0)</f>
        <v>0</v>
      </c>
      <c r="F806" s="7" t="n">
        <f aca="false">IF(B806="mass",INDEX(Materials!$C$5:$C$28,MATCH(C806,Materials!$A$5:$A$28,0)),0)</f>
        <v>0</v>
      </c>
      <c r="G806" s="7" t="n">
        <f aca="false">IF(B806="mass",INDEX(Materials!$D$5:$D$28,MATCH(C806,Materials!$A$5:$A$28,0)),0)</f>
        <v>0</v>
      </c>
      <c r="H806" s="10" t="n">
        <f aca="false">IF(B806="res",INDEX(Library!$R$5:$R$34,$U$798),0)</f>
        <v>0</v>
      </c>
      <c r="I806" s="11" t="n">
        <f aca="false">IF(B806="mass",SQRT(E806*($B$2*3600)/(PI()*F806*G806)),0)</f>
        <v>0</v>
      </c>
      <c r="J806" s="10" t="n">
        <f aca="false">IF(B806="mass",D806/I806,0)</f>
        <v>0</v>
      </c>
      <c r="K806" s="7" t="str">
        <f aca="false">IF(B806="mass",COMPLEX(COSH(J806)*COS(J806),SINH(J806)*SIN(J806)),COMPLEX(1,0))</f>
        <v>1</v>
      </c>
      <c r="L806" s="7" t="str">
        <f aca="false">IF(B806="mass",COMPLEX(-I806/(2*E806)*(SINH(J806)*COS(J806)+COSH(J806)*SIN(J806)),-I806/(2*E806)*(COSH(J806)*SIN(J806)-SINH(J806)*COS(J806))),COMPLEX(-H806,0))</f>
        <v>-0</v>
      </c>
      <c r="M806" s="7" t="str">
        <f aca="false">IF(B806="mass",COMPLEX(-E806/I806*(SINH(J806)*COS(J806)-COSH(J806)*SIN(J806)),-E806/I806*(SINH(J806)*COS(J806)+COSH(J806)*SIN(J806))),COMPLEX(0,0))</f>
        <v>0</v>
      </c>
      <c r="N806" s="7" t="str">
        <f aca="false">K806</f>
        <v>1</v>
      </c>
      <c r="O806" s="7" t="str">
        <f aca="false">IMSUM(IMPRODUCT(K806,O805),IMPRODUCT(L806,Q805))</f>
        <v>0.92033549136862+0.786280455899304i</v>
      </c>
      <c r="P806" s="7" t="str">
        <f aca="false">IMSUM(IMPRODUCT(K806,P805),IMPRODUCT(L806,R805))</f>
        <v>-0.476225745299024-0.157467961265006i</v>
      </c>
      <c r="Q806" s="7" t="str">
        <f aca="false">IMSUM(IMPRODUCT(M806,O805),IMPRODUCT(N806,Q805))</f>
        <v>0.751568795285853-3.36727700567813i</v>
      </c>
      <c r="R806" s="7" t="str">
        <f aca="false">IMSUM(IMPRODUCT(M806,P805),IMPRODUCT(N806,R805))</f>
        <v>0.867253700696524+0.872867957482141i</v>
      </c>
      <c r="S806" s="10" t="n">
        <f aca="false">IF(B806="mass",D806/E806,H806)</f>
        <v>0</v>
      </c>
      <c r="T806" s="12" t="n">
        <f aca="false">IF(B806="mass",F806*G806*D806,0)</f>
        <v>0</v>
      </c>
    </row>
    <row r="807" customFormat="false" ht="15" hidden="false" customHeight="false" outlineLevel="0" collapsed="false">
      <c r="A807" s="7" t="s">
        <v>49</v>
      </c>
      <c r="B807" s="7" t="str">
        <f aca="false">IF(C807="","none",IF(C807="Cavity","res","mass"))</f>
        <v>none</v>
      </c>
      <c r="C807" s="7" t="str">
        <f aca="false">IF(INDEX(Library!$S$5:$S$34,$U$798)="","",INDEX(Library!$S$5:$S$34,$U$798))</f>
        <v/>
      </c>
      <c r="D807" s="11" t="n">
        <f aca="false">IF(B807="mass",INDEX(Library!$T$5:$T$34,$U$798)/1000,0)</f>
        <v>0</v>
      </c>
      <c r="E807" s="7" t="n">
        <f aca="false">IF(B807="mass",INDEX(Materials!$B$5:$B$28,MATCH(C807,Materials!$A$5:$A$28,0)),0)</f>
        <v>0</v>
      </c>
      <c r="F807" s="7" t="n">
        <f aca="false">IF(B807="mass",INDEX(Materials!$C$5:$C$28,MATCH(C807,Materials!$A$5:$A$28,0)),0)</f>
        <v>0</v>
      </c>
      <c r="G807" s="7" t="n">
        <f aca="false">IF(B807="mass",INDEX(Materials!$D$5:$D$28,MATCH(C807,Materials!$A$5:$A$28,0)),0)</f>
        <v>0</v>
      </c>
      <c r="H807" s="10" t="n">
        <f aca="false">IF(B807="res",INDEX(Library!$T$5:$T$34,$U$798),0)</f>
        <v>0</v>
      </c>
      <c r="I807" s="11" t="n">
        <f aca="false">IF(B807="mass",SQRT(E807*($B$2*3600)/(PI()*F807*G807)),0)</f>
        <v>0</v>
      </c>
      <c r="J807" s="10" t="n">
        <f aca="false">IF(B807="mass",D807/I807,0)</f>
        <v>0</v>
      </c>
      <c r="K807" s="7" t="str">
        <f aca="false">IF(B807="mass",COMPLEX(COSH(J807)*COS(J807),SINH(J807)*SIN(J807)),COMPLEX(1,0))</f>
        <v>1</v>
      </c>
      <c r="L807" s="7" t="str">
        <f aca="false">IF(B807="mass",COMPLEX(-I807/(2*E807)*(SINH(J807)*COS(J807)+COSH(J807)*SIN(J807)),-I807/(2*E807)*(COSH(J807)*SIN(J807)-SINH(J807)*COS(J807))),COMPLEX(-H807,0))</f>
        <v>-0</v>
      </c>
      <c r="M807" s="7" t="str">
        <f aca="false">IF(B807="mass",COMPLEX(-E807/I807*(SINH(J807)*COS(J807)-COSH(J807)*SIN(J807)),-E807/I807*(SINH(J807)*COS(J807)+COSH(J807)*SIN(J807))),COMPLEX(0,0))</f>
        <v>0</v>
      </c>
      <c r="N807" s="7" t="str">
        <f aca="false">K807</f>
        <v>1</v>
      </c>
      <c r="O807" s="7" t="str">
        <f aca="false">IMSUM(IMPRODUCT(K807,O806),IMPRODUCT(L807,Q806))</f>
        <v>0.92033549136862+0.786280455899304i</v>
      </c>
      <c r="P807" s="7" t="str">
        <f aca="false">IMSUM(IMPRODUCT(K807,P806),IMPRODUCT(L807,R806))</f>
        <v>-0.476225745299024-0.157467961265006i</v>
      </c>
      <c r="Q807" s="7" t="str">
        <f aca="false">IMSUM(IMPRODUCT(M807,O806),IMPRODUCT(N807,Q806))</f>
        <v>0.751568795285853-3.36727700567813i</v>
      </c>
      <c r="R807" s="7" t="str">
        <f aca="false">IMSUM(IMPRODUCT(M807,P806),IMPRODUCT(N807,R806))</f>
        <v>0.867253700696524+0.872867957482141i</v>
      </c>
      <c r="S807" s="10" t="n">
        <f aca="false">IF(B807="mass",D807/E807,H807)</f>
        <v>0</v>
      </c>
      <c r="T807" s="12" t="n">
        <f aca="false">IF(B807="mass",F807*G807*D807,0)</f>
        <v>0</v>
      </c>
    </row>
    <row r="808" customFormat="false" ht="15" hidden="false" customHeight="false" outlineLevel="0" collapsed="false">
      <c r="A808" s="7" t="s">
        <v>50</v>
      </c>
      <c r="B808" s="7" t="str">
        <f aca="false">IF(C808="","none",IF(C808="Cavity","res","mass"))</f>
        <v>none</v>
      </c>
      <c r="C808" s="7" t="str">
        <f aca="false">IF(INDEX(Library!$U$5:$U$34,$U$798)="","",INDEX(Library!$U$5:$U$34,$U$798))</f>
        <v/>
      </c>
      <c r="D808" s="11" t="n">
        <f aca="false">IF(B808="mass",INDEX(Library!$V$5:$V$34,$U$798)/1000,0)</f>
        <v>0</v>
      </c>
      <c r="E808" s="7" t="n">
        <f aca="false">IF(B808="mass",INDEX(Materials!$B$5:$B$28,MATCH(C808,Materials!$A$5:$A$28,0)),0)</f>
        <v>0</v>
      </c>
      <c r="F808" s="7" t="n">
        <f aca="false">IF(B808="mass",INDEX(Materials!$C$5:$C$28,MATCH(C808,Materials!$A$5:$A$28,0)),0)</f>
        <v>0</v>
      </c>
      <c r="G808" s="7" t="n">
        <f aca="false">IF(B808="mass",INDEX(Materials!$D$5:$D$28,MATCH(C808,Materials!$A$5:$A$28,0)),0)</f>
        <v>0</v>
      </c>
      <c r="H808" s="10" t="n">
        <f aca="false">IF(B808="res",INDEX(Library!$V$5:$V$34,$U$798),0)</f>
        <v>0</v>
      </c>
      <c r="I808" s="11" t="n">
        <f aca="false">IF(B808="mass",SQRT(E808*($B$2*3600)/(PI()*F808*G808)),0)</f>
        <v>0</v>
      </c>
      <c r="J808" s="10" t="n">
        <f aca="false">IF(B808="mass",D808/I808,0)</f>
        <v>0</v>
      </c>
      <c r="K808" s="7" t="str">
        <f aca="false">IF(B808="mass",COMPLEX(COSH(J808)*COS(J808),SINH(J808)*SIN(J808)),COMPLEX(1,0))</f>
        <v>1</v>
      </c>
      <c r="L808" s="7" t="str">
        <f aca="false">IF(B808="mass",COMPLEX(-I808/(2*E808)*(SINH(J808)*COS(J808)+COSH(J808)*SIN(J808)),-I808/(2*E808)*(COSH(J808)*SIN(J808)-SINH(J808)*COS(J808))),COMPLEX(-H808,0))</f>
        <v>-0</v>
      </c>
      <c r="M808" s="7" t="str">
        <f aca="false">IF(B808="mass",COMPLEX(-E808/I808*(SINH(J808)*COS(J808)-COSH(J808)*SIN(J808)),-E808/I808*(SINH(J808)*COS(J808)+COSH(J808)*SIN(J808))),COMPLEX(0,0))</f>
        <v>0</v>
      </c>
      <c r="N808" s="7" t="str">
        <f aca="false">K808</f>
        <v>1</v>
      </c>
      <c r="O808" s="7" t="str">
        <f aca="false">IMSUM(IMPRODUCT(K808,O807),IMPRODUCT(L808,Q807))</f>
        <v>0.92033549136862+0.786280455899304i</v>
      </c>
      <c r="P808" s="7" t="str">
        <f aca="false">IMSUM(IMPRODUCT(K808,P807),IMPRODUCT(L808,R807))</f>
        <v>-0.476225745299024-0.157467961265006i</v>
      </c>
      <c r="Q808" s="7" t="str">
        <f aca="false">IMSUM(IMPRODUCT(M808,O807),IMPRODUCT(N808,Q807))</f>
        <v>0.751568795285853-3.36727700567813i</v>
      </c>
      <c r="R808" s="7" t="str">
        <f aca="false">IMSUM(IMPRODUCT(M808,P807),IMPRODUCT(N808,R807))</f>
        <v>0.867253700696524+0.872867957482141i</v>
      </c>
      <c r="S808" s="10" t="n">
        <f aca="false">IF(B808="mass",D808/E808,H808)</f>
        <v>0</v>
      </c>
      <c r="T808" s="12" t="n">
        <f aca="false">IF(B808="mass",F808*G808*D808,0)</f>
        <v>0</v>
      </c>
    </row>
    <row r="809" customFormat="false" ht="15" hidden="false" customHeight="false" outlineLevel="0" collapsed="false">
      <c r="A809" s="7" t="s">
        <v>51</v>
      </c>
      <c r="B809" s="7" t="str">
        <f aca="false">IF($W$798="ground","mass",IF($W$798="adiabatic","res","none"))</f>
        <v>res</v>
      </c>
      <c r="C809" s="7" t="str">
        <f aca="false">IF($W$798="ground","clay soil","")</f>
        <v/>
      </c>
      <c r="D809" s="11" t="n">
        <f aca="false">IF(B809="mass",1,0)</f>
        <v>0</v>
      </c>
      <c r="E809" s="7" t="n">
        <f aca="false">IF(B809="mass",INDEX(Materials!$B$5:$B$28,MATCH(C809,Materials!$A$5:$A$28,0)),0)</f>
        <v>0</v>
      </c>
      <c r="F809" s="7" t="n">
        <f aca="false">IF(B809="mass",INDEX(Materials!$C$5:$C$28,MATCH(C809,Materials!$A$5:$A$28,0)),0)</f>
        <v>0</v>
      </c>
      <c r="G809" s="7" t="n">
        <f aca="false">IF(B809="mass",INDEX(Materials!$D$5:$D$28,MATCH(C809,Materials!$A$5:$A$28,0)),0)</f>
        <v>0</v>
      </c>
      <c r="H809" s="12" t="n">
        <f aca="false">IF(B809="res",1000000,0)</f>
        <v>1000000</v>
      </c>
      <c r="I809" s="11" t="n">
        <f aca="false">IF(B809="mass",SQRT(E809*($B$2*3600)/(PI()*F809*G809)),0)</f>
        <v>0</v>
      </c>
      <c r="J809" s="10" t="n">
        <f aca="false">IF(B809="mass",D809/I809,0)</f>
        <v>0</v>
      </c>
      <c r="K809" s="7" t="str">
        <f aca="false">IF(B809="mass",COMPLEX(COSH(J809)*COS(J809),SINH(J809)*SIN(J809)),COMPLEX(1,0))</f>
        <v>1</v>
      </c>
      <c r="L809" s="7" t="str">
        <f aca="false">IF(B809="mass",COMPLEX(-I809/(2*E809)*(SINH(J809)*COS(J809)+COSH(J809)*SIN(J809)),-I809/(2*E809)*(COSH(J809)*SIN(J809)-SINH(J809)*COS(J809))),COMPLEX(-H809,0))</f>
        <v>-1000000</v>
      </c>
      <c r="M809" s="7" t="str">
        <f aca="false">IF(B809="mass",COMPLEX(-E809/I809*(SINH(J809)*COS(J809)-COSH(J809)*SIN(J809)),-E809/I809*(SINH(J809)*COS(J809)+COSH(J809)*SIN(J809))),COMPLEX(0,0))</f>
        <v>0</v>
      </c>
      <c r="N809" s="7" t="str">
        <f aca="false">K809</f>
        <v>1</v>
      </c>
      <c r="O809" s="7" t="str">
        <f aca="false">IMSUM(IMPRODUCT(K809,O808),IMPRODUCT(L809,Q808))</f>
        <v>-751567.874950362+3367277.79195859i</v>
      </c>
      <c r="P809" s="7" t="str">
        <f aca="false">IMSUM(IMPRODUCT(K809,P808),IMPRODUCT(L809,R808))</f>
        <v>-867254.176922269-872868.114950102i</v>
      </c>
      <c r="Q809" s="7" t="str">
        <f aca="false">IMSUM(IMPRODUCT(M809,O808),IMPRODUCT(N809,Q808))</f>
        <v>0.751568795285853-3.36727700567813i</v>
      </c>
      <c r="R809" s="7" t="str">
        <f aca="false">IMSUM(IMPRODUCT(M809,P808),IMPRODUCT(N809,R808))</f>
        <v>0.867253700696524+0.872867957482141i</v>
      </c>
      <c r="S809" s="10" t="n">
        <f aca="false">IF(B809="mass",D809/E809,H809)</f>
        <v>1000000</v>
      </c>
      <c r="T809" s="12" t="n">
        <f aca="false">IF(B809="mass",F809*G809*D809,0)</f>
        <v>0</v>
      </c>
    </row>
    <row r="810" customFormat="false" ht="15" hidden="false" customHeight="false" outlineLevel="0" collapsed="false">
      <c r="A810" s="7" t="s">
        <v>52</v>
      </c>
      <c r="B810" s="7" t="s">
        <v>42</v>
      </c>
      <c r="H810" s="10" t="n">
        <f aca="false">IF($W$798="ext",0.04,IF($W$798="room",$Y$798,0))</f>
        <v>0</v>
      </c>
      <c r="I810" s="11" t="n">
        <f aca="false">IF(B810="mass",SQRT(E810*($B$2*3600)/(PI()*F810*G810)),0)</f>
        <v>0</v>
      </c>
      <c r="J810" s="10" t="n">
        <f aca="false">IF(B810="mass",D810/I810,0)</f>
        <v>0</v>
      </c>
      <c r="K810" s="7" t="str">
        <f aca="false">IF(B810="mass",COMPLEX(COSH(J810)*COS(J810),SINH(J810)*SIN(J810)),COMPLEX(1,0))</f>
        <v>1</v>
      </c>
      <c r="L810" s="7" t="str">
        <f aca="false">IF(B810="mass",COMPLEX(-I810/(2*E810)*(SINH(J810)*COS(J810)+COSH(J810)*SIN(J810)),-I810/(2*E810)*(COSH(J810)*SIN(J810)-SINH(J810)*COS(J810))),COMPLEX(-H810,0))</f>
        <v>-0</v>
      </c>
      <c r="M810" s="7" t="str">
        <f aca="false">IF(B810="mass",COMPLEX(-E810/I810*(SINH(J810)*COS(J810)-COSH(J810)*SIN(J810)),-E810/I810*(SINH(J810)*COS(J810)+COSH(J810)*SIN(J810))),COMPLEX(0,0))</f>
        <v>0</v>
      </c>
      <c r="N810" s="7" t="str">
        <f aca="false">K810</f>
        <v>1</v>
      </c>
      <c r="O810" s="7" t="str">
        <f aca="false">IMSUM(IMPRODUCT(K810,O809),IMPRODUCT(L810,Q809))</f>
        <v>-751567.874950362+3367277.79195859i</v>
      </c>
      <c r="P810" s="7" t="str">
        <f aca="false">IMSUM(IMPRODUCT(K810,P809),IMPRODUCT(L810,R809))</f>
        <v>-867254.176922269-872868.114950102i</v>
      </c>
      <c r="Q810" s="7" t="str">
        <f aca="false">IMSUM(IMPRODUCT(M810,O809),IMPRODUCT(N810,Q809))</f>
        <v>0.751568795285853-3.36727700567813i</v>
      </c>
      <c r="R810" s="7" t="str">
        <f aca="false">IMSUM(IMPRODUCT(M810,P809),IMPRODUCT(N810,R809))</f>
        <v>0.867253700696524+0.872867957482141i</v>
      </c>
      <c r="S810" s="10" t="n">
        <f aca="false">IF(B810="mass",D810/E810,H810)</f>
        <v>0</v>
      </c>
      <c r="T810" s="12" t="n">
        <f aca="false">IF(B810="mass",F810*G810*D810,0)</f>
        <v>0</v>
      </c>
    </row>
    <row r="811" customFormat="false" ht="15" hidden="false" customHeight="false" outlineLevel="0" collapsed="false">
      <c r="A811" s="9" t="s">
        <v>53</v>
      </c>
      <c r="B811" s="13" t="str">
        <f aca="false">IF(OR($W$798="ext",$W$798="ground"),1/SUM(S800:S810),"–")</f>
        <v>–</v>
      </c>
      <c r="C811" s="9" t="s">
        <v>54</v>
      </c>
      <c r="D811" s="13" t="n">
        <f aca="false">IMABS(IMDIV(IMPRODUCT(O810,COMPLEX(-1,0)),P810))</f>
        <v>2.80394013077802</v>
      </c>
      <c r="E811" s="9" t="s">
        <v>55</v>
      </c>
      <c r="F811" s="14" t="n">
        <f aca="false">IMARGUMENT(IMDIV(IMPRODUCT(O810,COMPLEX(-1,0)),P810))*$B$2/(2*PI())</f>
        <v>3.82647993764214</v>
      </c>
      <c r="G811" s="9" t="s">
        <v>56</v>
      </c>
      <c r="H811" s="13" t="str">
        <f aca="false">IF($W$798="ext",IMABS(IMDIV(COMPLEX(-1,0),P810))*SUM(S800:S810),"–")</f>
        <v>–</v>
      </c>
      <c r="I811" s="9" t="s">
        <v>57</v>
      </c>
      <c r="J811" s="14" t="str">
        <f aca="false">IF($W$798="ext",MOD(-IMARGUMENT(IMDIV(COMPLEX(-1,0),P810))*$B$2/(2*PI()),24),"–")</f>
        <v>–</v>
      </c>
      <c r="K811" s="9" t="s">
        <v>58</v>
      </c>
      <c r="L811" s="15" t="n">
        <f aca="false">($B$2*3600)/(2*PI())*IMABS(IMDIV(IMSUB(O810,COMPLEX(1,0)),P810))/1000</f>
        <v>38.5569469546684</v>
      </c>
      <c r="M811" s="9" t="s">
        <v>59</v>
      </c>
      <c r="N811" s="15" t="n">
        <f aca="false">SUM(T801:T808)/1000</f>
        <v>46.9</v>
      </c>
      <c r="O811" s="9" t="s">
        <v>60</v>
      </c>
      <c r="P811" s="16" t="n">
        <f aca="false">SUM(S801:S808)</f>
        <v>0.359333333333333</v>
      </c>
    </row>
    <row r="813" customFormat="false" ht="15" hidden="false" customHeight="false" outlineLevel="0" collapsed="false">
      <c r="A813" s="4" t="s">
        <v>146</v>
      </c>
    </row>
    <row r="814" customFormat="false" ht="15" hidden="false" customHeight="false" outlineLevel="0" collapsed="false">
      <c r="A814" s="9"/>
      <c r="B814" s="9" t="s">
        <v>62</v>
      </c>
      <c r="C814" s="9" t="s">
        <v>63</v>
      </c>
      <c r="D814" s="9"/>
      <c r="E814" s="9"/>
      <c r="F814" s="9"/>
      <c r="G814" s="9"/>
      <c r="H814" s="9"/>
      <c r="I814" s="9"/>
      <c r="J814" s="9"/>
      <c r="K814" s="9" t="s">
        <v>32</v>
      </c>
      <c r="L814" s="9" t="s">
        <v>33</v>
      </c>
      <c r="M814" s="9" t="s">
        <v>34</v>
      </c>
      <c r="N814" s="9" t="s">
        <v>35</v>
      </c>
      <c r="O814" s="9" t="s">
        <v>36</v>
      </c>
      <c r="P814" s="9" t="s">
        <v>37</v>
      </c>
      <c r="Q814" s="9" t="s">
        <v>38</v>
      </c>
      <c r="R814" s="9" t="s">
        <v>39</v>
      </c>
    </row>
    <row r="815" customFormat="false" ht="15" hidden="false" customHeight="false" outlineLevel="0" collapsed="false">
      <c r="A815" s="7" t="s">
        <v>22</v>
      </c>
      <c r="B815" s="7" t="s">
        <v>42</v>
      </c>
      <c r="C815" s="10" t="n">
        <f aca="false">$Y$798</f>
        <v>0.13</v>
      </c>
      <c r="K815" s="7" t="str">
        <f aca="false">COMPLEX(1,0)</f>
        <v>1</v>
      </c>
      <c r="L815" s="7" t="str">
        <f aca="false">COMPLEX(-C815,0)</f>
        <v>-0.13</v>
      </c>
      <c r="M815" s="7" t="str">
        <f aca="false">COMPLEX(0,0)</f>
        <v>0</v>
      </c>
      <c r="N815" s="7" t="str">
        <f aca="false">COMPLEX(1,0)</f>
        <v>1</v>
      </c>
      <c r="O815" s="7" t="str">
        <f aca="false">K815</f>
        <v>1</v>
      </c>
      <c r="P815" s="7" t="str">
        <f aca="false">L815</f>
        <v>-0.13</v>
      </c>
      <c r="Q815" s="7" t="str">
        <f aca="false">M815</f>
        <v>0</v>
      </c>
      <c r="R815" s="7" t="str">
        <f aca="false">N815</f>
        <v>1</v>
      </c>
    </row>
    <row r="816" customFormat="false" ht="15" hidden="false" customHeight="false" outlineLevel="0" collapsed="false">
      <c r="A816" s="7" t="s">
        <v>64</v>
      </c>
      <c r="B816" s="7" t="s">
        <v>65</v>
      </c>
      <c r="C816" s="10" t="n">
        <f aca="false">INDEX(Classes!$B$5:$F$9,MATCH(Engine!$C$797,Classes!$A$5:$A$9,0),5)*(N811*1000)</f>
        <v>5862.5</v>
      </c>
      <c r="K816" s="7" t="str">
        <f aca="false">COMPLEX(1,0)</f>
        <v>1</v>
      </c>
      <c r="L816" s="7" t="str">
        <f aca="false">COMPLEX(0,0)</f>
        <v>0</v>
      </c>
      <c r="M816" s="7" t="str">
        <f aca="false">COMPLEX(0,-(2*PI()/($B$2*3600))*C816)</f>
        <v>-0.426333030825698i</v>
      </c>
      <c r="N816" s="7" t="str">
        <f aca="false">COMPLEX(1,0)</f>
        <v>1</v>
      </c>
      <c r="O816" s="7" t="str">
        <f aca="false">IMSUM(IMPRODUCT(K816,O815),IMPRODUCT(L816,Q815))</f>
        <v>1</v>
      </c>
      <c r="P816" s="7" t="str">
        <f aca="false">IMSUM(IMPRODUCT(K816,P815),IMPRODUCT(L816,R815))</f>
        <v>-0.13</v>
      </c>
      <c r="Q816" s="7" t="str">
        <f aca="false">IMSUM(IMPRODUCT(M816,O815),IMPRODUCT(N816,Q815))</f>
        <v>-0.426333030825698i</v>
      </c>
      <c r="R816" s="7" t="str">
        <f aca="false">IMSUM(IMPRODUCT(M816,P815),IMPRODUCT(N816,R815))</f>
        <v>1+0.0554232940073407i</v>
      </c>
    </row>
    <row r="817" customFormat="false" ht="15" hidden="false" customHeight="false" outlineLevel="0" collapsed="false">
      <c r="A817" s="7" t="s">
        <v>66</v>
      </c>
      <c r="B817" s="7" t="s">
        <v>42</v>
      </c>
      <c r="C817" s="10" t="n">
        <f aca="false">P811/6</f>
        <v>0.0598888888888889</v>
      </c>
      <c r="K817" s="7" t="str">
        <f aca="false">COMPLEX(1,0)</f>
        <v>1</v>
      </c>
      <c r="L817" s="7" t="str">
        <f aca="false">COMPLEX(-C817,0)</f>
        <v>-0.0598888888888889</v>
      </c>
      <c r="M817" s="7" t="str">
        <f aca="false">COMPLEX(0,0)</f>
        <v>0</v>
      </c>
      <c r="N817" s="7" t="str">
        <f aca="false">COMPLEX(1,0)</f>
        <v>1</v>
      </c>
      <c r="O817" s="7" t="str">
        <f aca="false">IMSUM(IMPRODUCT(K817,O816),IMPRODUCT(L817,Q816))</f>
        <v>1+0.0255326115127835i</v>
      </c>
      <c r="P817" s="7" t="str">
        <f aca="false">IMSUM(IMPRODUCT(K817,P816),IMPRODUCT(L817,R816))</f>
        <v>-0.189888888888889-0.00331923949666185i</v>
      </c>
      <c r="Q817" s="7" t="str">
        <f aca="false">IMSUM(IMPRODUCT(M817,O816),IMPRODUCT(N817,Q816))</f>
        <v>-0.426333030825698i</v>
      </c>
      <c r="R817" s="7" t="str">
        <f aca="false">IMSUM(IMPRODUCT(M817,P816),IMPRODUCT(N817,R816))</f>
        <v>1+0.0554232940073407i</v>
      </c>
    </row>
    <row r="818" customFormat="false" ht="15" hidden="false" customHeight="false" outlineLevel="0" collapsed="false">
      <c r="A818" s="7" t="s">
        <v>67</v>
      </c>
      <c r="B818" s="7" t="s">
        <v>65</v>
      </c>
      <c r="C818" s="10" t="n">
        <f aca="false">INDEX(Classes!$B$5:$F$9,MATCH(Engine!$C$797,Classes!$A$5:$A$9,0),4)*(N811*1000)</f>
        <v>11725</v>
      </c>
      <c r="K818" s="7" t="str">
        <f aca="false">COMPLEX(1,0)</f>
        <v>1</v>
      </c>
      <c r="L818" s="7" t="str">
        <f aca="false">COMPLEX(0,0)</f>
        <v>0</v>
      </c>
      <c r="M818" s="7" t="str">
        <f aca="false">COMPLEX(0,-(2*PI()/($B$2*3600))*C818)</f>
        <v>-0.852666061651396i</v>
      </c>
      <c r="N818" s="7" t="str">
        <f aca="false">COMPLEX(1,0)</f>
        <v>1</v>
      </c>
      <c r="O818" s="7" t="str">
        <f aca="false">IMSUM(IMPRODUCT(K818,O817),IMPRODUCT(L818,Q817))</f>
        <v>1+0.0255326115127835i</v>
      </c>
      <c r="P818" s="7" t="str">
        <f aca="false">IMSUM(IMPRODUCT(K818,P817),IMPRODUCT(L818,R817))</f>
        <v>-0.189888888888889-0.00331923949666185i</v>
      </c>
      <c r="Q818" s="7" t="str">
        <f aca="false">IMSUM(IMPRODUCT(M818,O817),IMPRODUCT(N818,Q817))</f>
        <v>0.0217707913022802-1.27899909247709i</v>
      </c>
      <c r="R818" s="7" t="str">
        <f aca="false">IMSUM(IMPRODUCT(M818,P817),IMPRODUCT(N818,R817))</f>
        <v>0.997169797130704+0.21733510504759i</v>
      </c>
    </row>
    <row r="819" customFormat="false" ht="15" hidden="false" customHeight="false" outlineLevel="0" collapsed="false">
      <c r="A819" s="7" t="s">
        <v>68</v>
      </c>
      <c r="B819" s="7" t="s">
        <v>42</v>
      </c>
      <c r="C819" s="10" t="n">
        <f aca="false">P811/3</f>
        <v>0.119777777777778</v>
      </c>
      <c r="K819" s="7" t="str">
        <f aca="false">COMPLEX(1,0)</f>
        <v>1</v>
      </c>
      <c r="L819" s="7" t="str">
        <f aca="false">COMPLEX(-C819,0)</f>
        <v>-0.119777777777778</v>
      </c>
      <c r="M819" s="7" t="str">
        <f aca="false">COMPLEX(0,0)</f>
        <v>0</v>
      </c>
      <c r="N819" s="7" t="str">
        <f aca="false">COMPLEX(1,0)</f>
        <v>1</v>
      </c>
      <c r="O819" s="7" t="str">
        <f aca="false">IMSUM(IMPRODUCT(K819,O818),IMPRODUCT(L819,Q818))</f>
        <v>0.997392342997349+0.178728280589485i</v>
      </c>
      <c r="P819" s="7" t="str">
        <f aca="false">IMSUM(IMPRODUCT(K819,P818),IMPRODUCT(L819,R818))</f>
        <v>-0.309327671256322-0.0293511554123622i</v>
      </c>
      <c r="Q819" s="7" t="str">
        <f aca="false">IMSUM(IMPRODUCT(M819,O818),IMPRODUCT(N819,Q818))</f>
        <v>0.0217707913022802-1.27899909247709i</v>
      </c>
      <c r="R819" s="7" t="str">
        <f aca="false">IMSUM(IMPRODUCT(M819,P818),IMPRODUCT(N819,R818))</f>
        <v>0.997169797130704+0.21733510504759i</v>
      </c>
    </row>
    <row r="820" customFormat="false" ht="15" hidden="false" customHeight="false" outlineLevel="0" collapsed="false">
      <c r="A820" s="7" t="s">
        <v>69</v>
      </c>
      <c r="B820" s="7" t="s">
        <v>65</v>
      </c>
      <c r="C820" s="10" t="n">
        <f aca="false">INDEX(Classes!$B$5:$F$9,MATCH(Engine!$C$797,Classes!$A$5:$A$9,0),3)*(N811*1000)</f>
        <v>11725</v>
      </c>
      <c r="K820" s="7" t="str">
        <f aca="false">COMPLEX(1,0)</f>
        <v>1</v>
      </c>
      <c r="L820" s="7" t="str">
        <f aca="false">COMPLEX(0,0)</f>
        <v>0</v>
      </c>
      <c r="M820" s="7" t="str">
        <f aca="false">COMPLEX(0,-(2*PI()/($B$2*3600))*C820)</f>
        <v>-0.852666061651396i</v>
      </c>
      <c r="N820" s="7" t="str">
        <f aca="false">COMPLEX(1,0)</f>
        <v>1</v>
      </c>
      <c r="O820" s="7" t="str">
        <f aca="false">IMSUM(IMPRODUCT(K820,O819),IMPRODUCT(L820,Q819))</f>
        <v>0.997392342997349+0.178728280589485i</v>
      </c>
      <c r="P820" s="7" t="str">
        <f aca="false">IMSUM(IMPRODUCT(K820,P819),IMPRODUCT(L820,R819))</f>
        <v>-0.309327671256322-0.0293511554123622i</v>
      </c>
      <c r="Q820" s="7" t="str">
        <f aca="false">IMSUM(IMPRODUCT(M820,O819),IMPRODUCT(N820,Q819))</f>
        <v>0.174166330418242-2.1294416935019i</v>
      </c>
      <c r="R820" s="7" t="str">
        <f aca="false">IMSUM(IMPRODUCT(M820,P819),IMPRODUCT(N820,R819))</f>
        <v>0.972143063040327+0.481088312257516i</v>
      </c>
    </row>
    <row r="821" customFormat="false" ht="15" hidden="false" customHeight="false" outlineLevel="0" collapsed="false">
      <c r="A821" s="7" t="s">
        <v>68</v>
      </c>
      <c r="B821" s="7" t="s">
        <v>42</v>
      </c>
      <c r="C821" s="10" t="n">
        <f aca="false">P811/3</f>
        <v>0.119777777777778</v>
      </c>
      <c r="K821" s="7" t="str">
        <f aca="false">COMPLEX(1,0)</f>
        <v>1</v>
      </c>
      <c r="L821" s="7" t="str">
        <f aca="false">COMPLEX(-C821,0)</f>
        <v>-0.119777777777778</v>
      </c>
      <c r="M821" s="7" t="str">
        <f aca="false">COMPLEX(0,0)</f>
        <v>0</v>
      </c>
      <c r="N821" s="7" t="str">
        <f aca="false">COMPLEX(1,0)</f>
        <v>1</v>
      </c>
      <c r="O821" s="7" t="str">
        <f aca="false">IMSUM(IMPRODUCT(K821,O820),IMPRODUCT(L821,Q820))</f>
        <v>0.976531086976142+0.433788074544491i</v>
      </c>
      <c r="P821" s="7" t="str">
        <f aca="false">IMSUM(IMPRODUCT(K821,P820),IMPRODUCT(L821,R820))</f>
        <v>-0.425768807029375-0.0869748443694292i</v>
      </c>
      <c r="Q821" s="7" t="str">
        <f aca="false">IMSUM(IMPRODUCT(M821,O820),IMPRODUCT(N821,Q820))</f>
        <v>0.174166330418242-2.1294416935019i</v>
      </c>
      <c r="R821" s="7" t="str">
        <f aca="false">IMSUM(IMPRODUCT(M821,P820),IMPRODUCT(N821,R820))</f>
        <v>0.972143063040327+0.481088312257516i</v>
      </c>
    </row>
    <row r="822" customFormat="false" ht="15" hidden="false" customHeight="false" outlineLevel="0" collapsed="false">
      <c r="A822" s="7" t="s">
        <v>70</v>
      </c>
      <c r="B822" s="7" t="s">
        <v>65</v>
      </c>
      <c r="C822" s="10" t="n">
        <f aca="false">INDEX(Classes!$B$5:$F$9,MATCH(Engine!$C$797,Classes!$A$5:$A$9,0),2)*(N811*1000)</f>
        <v>11725</v>
      </c>
      <c r="K822" s="7" t="str">
        <f aca="false">COMPLEX(1,0)</f>
        <v>1</v>
      </c>
      <c r="L822" s="7" t="str">
        <f aca="false">COMPLEX(0,0)</f>
        <v>0</v>
      </c>
      <c r="M822" s="7" t="str">
        <f aca="false">COMPLEX(0,-(2*PI()/($B$2*3600))*C822)</f>
        <v>-0.852666061651396i</v>
      </c>
      <c r="N822" s="7" t="str">
        <f aca="false">COMPLEX(1,0)</f>
        <v>1</v>
      </c>
      <c r="O822" s="7" t="str">
        <f aca="false">IMSUM(IMPRODUCT(K822,O821),IMPRODUCT(L822,Q821))</f>
        <v>0.976531086976142+0.433788074544491i</v>
      </c>
      <c r="P822" s="7" t="str">
        <f aca="false">IMSUM(IMPRODUCT(K822,P821),IMPRODUCT(L822,R821))</f>
        <v>-0.425768807029375-0.0869748443694292i</v>
      </c>
      <c r="Q822" s="7" t="str">
        <f aca="false">IMSUM(IMPRODUCT(M822,O821),IMPRODUCT(N822,Q821))</f>
        <v>0.544042699531435-2.962096609514i</v>
      </c>
      <c r="R822" s="7" t="str">
        <f aca="false">IMSUM(IMPRODUCT(M822,P821),IMPRODUCT(N822,R821))</f>
        <v>0.897982565029103+0.844126924121266i</v>
      </c>
    </row>
    <row r="823" customFormat="false" ht="15" hidden="false" customHeight="false" outlineLevel="0" collapsed="false">
      <c r="A823" s="7" t="s">
        <v>66</v>
      </c>
      <c r="B823" s="7" t="s">
        <v>42</v>
      </c>
      <c r="C823" s="10" t="n">
        <f aca="false">P811/6</f>
        <v>0.0598888888888889</v>
      </c>
      <c r="K823" s="7" t="str">
        <f aca="false">COMPLEX(1,0)</f>
        <v>1</v>
      </c>
      <c r="L823" s="7" t="str">
        <f aca="false">COMPLEX(-C823,0)</f>
        <v>-0.0598888888888889</v>
      </c>
      <c r="M823" s="7" t="str">
        <f aca="false">COMPLEX(0,0)</f>
        <v>0</v>
      </c>
      <c r="N823" s="7" t="str">
        <f aca="false">COMPLEX(1,0)</f>
        <v>1</v>
      </c>
      <c r="O823" s="7" t="str">
        <f aca="false">IMSUM(IMPRODUCT(K823,O822),IMPRODUCT(L823,Q822))</f>
        <v>0.943948974193093+0.61118474926983i</v>
      </c>
      <c r="P823" s="7" t="str">
        <f aca="false">IMSUM(IMPRODUCT(K823,P822),IMPRODUCT(L823,R822))</f>
        <v>-0.479547985090563-0.137528667936247i</v>
      </c>
      <c r="Q823" s="7" t="str">
        <f aca="false">IMSUM(IMPRODUCT(M823,O822),IMPRODUCT(N823,Q822))</f>
        <v>0.544042699531435-2.962096609514i</v>
      </c>
      <c r="R823" s="7" t="str">
        <f aca="false">IMSUM(IMPRODUCT(M823,P822),IMPRODUCT(N823,R822))</f>
        <v>0.897982565029103+0.844126924121266i</v>
      </c>
    </row>
    <row r="824" customFormat="false" ht="15" hidden="false" customHeight="false" outlineLevel="0" collapsed="false">
      <c r="A824" s="7" t="s">
        <v>71</v>
      </c>
      <c r="B824" s="7" t="s">
        <v>65</v>
      </c>
      <c r="C824" s="10" t="n">
        <f aca="false">INDEX(Classes!$B$5:$F$9,MATCH(Engine!$C$797,Classes!$A$5:$A$9,0),1)*(N811*1000)</f>
        <v>5862.5</v>
      </c>
      <c r="K824" s="7" t="str">
        <f aca="false">COMPLEX(1,0)</f>
        <v>1</v>
      </c>
      <c r="L824" s="7" t="str">
        <f aca="false">COMPLEX(0,0)</f>
        <v>0</v>
      </c>
      <c r="M824" s="7" t="str">
        <f aca="false">COMPLEX(0,-(2*PI()/($B$2*3600))*C824)</f>
        <v>-0.426333030825698i</v>
      </c>
      <c r="N824" s="7" t="str">
        <f aca="false">COMPLEX(1,0)</f>
        <v>1</v>
      </c>
      <c r="O824" s="7" t="str">
        <f aca="false">IMSUM(IMPRODUCT(K824,O823),IMPRODUCT(L824,Q823))</f>
        <v>0.943948974193093+0.61118474926983i</v>
      </c>
      <c r="P824" s="7" t="str">
        <f aca="false">IMSUM(IMPRODUCT(K824,P823),IMPRODUCT(L824,R823))</f>
        <v>-0.479547985090563-0.137528667936247i</v>
      </c>
      <c r="Q824" s="7" t="str">
        <f aca="false">IMSUM(IMPRODUCT(M824,O823),IMPRODUCT(N824,Q823))</f>
        <v>0.804610946082086-3.36453323662655i</v>
      </c>
      <c r="R824" s="7" t="str">
        <f aca="false">IMSUM(IMPRODUCT(M824,P823),IMPRODUCT(N824,R823))</f>
        <v>0.839349551202422+1.04857407003128i</v>
      </c>
    </row>
    <row r="825" customFormat="false" ht="15" hidden="false" customHeight="false" outlineLevel="0" collapsed="false">
      <c r="A825" s="7" t="s">
        <v>72</v>
      </c>
      <c r="B825" s="7" t="s">
        <v>73</v>
      </c>
      <c r="K825" s="7" t="str">
        <f aca="false">K809</f>
        <v>1</v>
      </c>
      <c r="L825" s="7" t="str">
        <f aca="false">L809</f>
        <v>-1000000</v>
      </c>
      <c r="M825" s="7" t="str">
        <f aca="false">M809</f>
        <v>0</v>
      </c>
      <c r="N825" s="7" t="str">
        <f aca="false">N809</f>
        <v>1</v>
      </c>
      <c r="O825" s="7" t="str">
        <f aca="false">IMSUM(IMPRODUCT(K825,O824),IMPRODUCT(L825,Q824))</f>
        <v>-804610.002133112+3364533.8478113i</v>
      </c>
      <c r="P825" s="7" t="str">
        <f aca="false">IMSUM(IMPRODUCT(K825,P824),IMPRODUCT(L825,R824))</f>
        <v>-839350.030750407-1048574.20755995i</v>
      </c>
      <c r="Q825" s="7" t="str">
        <f aca="false">IMSUM(IMPRODUCT(M825,O824),IMPRODUCT(N825,Q824))</f>
        <v>0.804610946082086-3.36453323662655i</v>
      </c>
      <c r="R825" s="7" t="str">
        <f aca="false">IMSUM(IMPRODUCT(M825,P824),IMPRODUCT(N825,R824))</f>
        <v>0.839349551202422+1.04857407003128i</v>
      </c>
    </row>
    <row r="826" customFormat="false" ht="15" hidden="false" customHeight="false" outlineLevel="0" collapsed="false">
      <c r="A826" s="7" t="s">
        <v>52</v>
      </c>
      <c r="B826" s="7" t="s">
        <v>73</v>
      </c>
      <c r="K826" s="7" t="str">
        <f aca="false">K810</f>
        <v>1</v>
      </c>
      <c r="L826" s="7" t="str">
        <f aca="false">L810</f>
        <v>-0</v>
      </c>
      <c r="M826" s="7" t="str">
        <f aca="false">M810</f>
        <v>0</v>
      </c>
      <c r="N826" s="7" t="str">
        <f aca="false">N810</f>
        <v>1</v>
      </c>
      <c r="O826" s="7" t="str">
        <f aca="false">IMSUM(IMPRODUCT(K826,O825),IMPRODUCT(L826,Q825))</f>
        <v>-804610.002133112+3364533.8478113i</v>
      </c>
      <c r="P826" s="7" t="str">
        <f aca="false">IMSUM(IMPRODUCT(K826,P825),IMPRODUCT(L826,R825))</f>
        <v>-839350.030750407-1048574.20755995i</v>
      </c>
      <c r="Q826" s="7" t="str">
        <f aca="false">IMSUM(IMPRODUCT(M826,O825),IMPRODUCT(N826,Q825))</f>
        <v>0.804610946082086-3.36453323662655i</v>
      </c>
      <c r="R826" s="7" t="str">
        <f aca="false">IMSUM(IMPRODUCT(M826,P825),IMPRODUCT(N826,R825))</f>
        <v>0.839349551202422+1.04857407003128i</v>
      </c>
    </row>
    <row r="827" customFormat="false" ht="15" hidden="false" customHeight="false" outlineLevel="0" collapsed="false">
      <c r="A827" s="9" t="s">
        <v>74</v>
      </c>
      <c r="B827" s="13" t="n">
        <f aca="false">IMABS(IMDIV(IMPRODUCT(O826,COMPLEX(-1,0)),P826))</f>
        <v>2.57561660896938</v>
      </c>
    </row>
    <row r="830" customFormat="false" ht="15" hidden="false" customHeight="false" outlineLevel="0" collapsed="false">
      <c r="A830" s="4" t="s">
        <v>147</v>
      </c>
      <c r="B830" s="9" t="s">
        <v>18</v>
      </c>
      <c r="C830" s="7" t="str">
        <f aca="false">INDEX(Library!$F$5:$F$34,MATCH(A830,Library!$A$5:$A$34,0))</f>
        <v>D</v>
      </c>
    </row>
    <row r="831" customFormat="false" ht="15" hidden="false" customHeight="false" outlineLevel="0" collapsed="false">
      <c r="A831" s="4" t="s">
        <v>148</v>
      </c>
      <c r="T831" s="9" t="s">
        <v>20</v>
      </c>
      <c r="U831" s="7" t="n">
        <f aca="false">MATCH($A$830,Library!$A$5:$A$34,0)</f>
        <v>26</v>
      </c>
      <c r="V831" s="9" t="s">
        <v>21</v>
      </c>
      <c r="W831" s="7" t="str">
        <f aca="false">INDEX(Library!$D$5:$D$34,$U$831)</f>
        <v>adiabatic</v>
      </c>
      <c r="X831" s="9" t="s">
        <v>22</v>
      </c>
      <c r="Y831" s="7" t="n">
        <f aca="false">INDEX(Library!$E$5:$E$34,$U$831)</f>
        <v>0.13</v>
      </c>
    </row>
    <row r="832" customFormat="false" ht="15" hidden="false" customHeight="false" outlineLevel="0" collapsed="false">
      <c r="A832" s="9"/>
      <c r="B832" s="9" t="s">
        <v>23</v>
      </c>
      <c r="C832" s="9" t="s">
        <v>24</v>
      </c>
      <c r="D832" s="9" t="s">
        <v>25</v>
      </c>
      <c r="E832" s="9" t="s">
        <v>26</v>
      </c>
      <c r="F832" s="9" t="s">
        <v>27</v>
      </c>
      <c r="G832" s="9" t="s">
        <v>28</v>
      </c>
      <c r="H832" s="9" t="s">
        <v>29</v>
      </c>
      <c r="I832" s="9" t="s">
        <v>30</v>
      </c>
      <c r="J832" s="9" t="s">
        <v>31</v>
      </c>
      <c r="K832" s="9" t="s">
        <v>32</v>
      </c>
      <c r="L832" s="9" t="s">
        <v>33</v>
      </c>
      <c r="M832" s="9" t="s">
        <v>34</v>
      </c>
      <c r="N832" s="9" t="s">
        <v>35</v>
      </c>
      <c r="O832" s="9" t="s">
        <v>36</v>
      </c>
      <c r="P832" s="9" t="s">
        <v>37</v>
      </c>
      <c r="Q832" s="9" t="s">
        <v>38</v>
      </c>
      <c r="R832" s="9" t="s">
        <v>39</v>
      </c>
      <c r="S832" s="9" t="s">
        <v>40</v>
      </c>
      <c r="T832" s="9" t="s">
        <v>41</v>
      </c>
    </row>
    <row r="833" customFormat="false" ht="15" hidden="false" customHeight="false" outlineLevel="0" collapsed="false">
      <c r="A833" s="7" t="s">
        <v>22</v>
      </c>
      <c r="B833" s="7" t="s">
        <v>42</v>
      </c>
      <c r="H833" s="10" t="n">
        <f aca="false">$Y$831</f>
        <v>0.13</v>
      </c>
      <c r="I833" s="11" t="n">
        <f aca="false">IF(B833="mass",SQRT(E833*($B$2*3600)/(PI()*F833*G833)),0)</f>
        <v>0</v>
      </c>
      <c r="J833" s="10" t="n">
        <f aca="false">IF(B833="mass",D833/I833,0)</f>
        <v>0</v>
      </c>
      <c r="K833" s="7" t="str">
        <f aca="false">IF(B833="mass",COMPLEX(COSH(J833)*COS(J833),SINH(J833)*SIN(J833)),COMPLEX(1,0))</f>
        <v>1</v>
      </c>
      <c r="L833" s="7" t="str">
        <f aca="false">IF(B833="mass",COMPLEX(-I833/(2*E833)*(SINH(J833)*COS(J833)+COSH(J833)*SIN(J833)),-I833/(2*E833)*(COSH(J833)*SIN(J833)-SINH(J833)*COS(J833))),COMPLEX(-H833,0))</f>
        <v>-0.13</v>
      </c>
      <c r="M833" s="7" t="str">
        <f aca="false">IF(B833="mass",COMPLEX(-E833/I833*(SINH(J833)*COS(J833)-COSH(J833)*SIN(J833)),-E833/I833*(SINH(J833)*COS(J833)+COSH(J833)*SIN(J833))),COMPLEX(0,0))</f>
        <v>0</v>
      </c>
      <c r="N833" s="7" t="str">
        <f aca="false">K833</f>
        <v>1</v>
      </c>
      <c r="O833" s="7" t="str">
        <f aca="false">K833</f>
        <v>1</v>
      </c>
      <c r="P833" s="7" t="str">
        <f aca="false">L833</f>
        <v>-0.13</v>
      </c>
      <c r="Q833" s="7" t="str">
        <f aca="false">M833</f>
        <v>0</v>
      </c>
      <c r="R833" s="7" t="str">
        <f aca="false">N833</f>
        <v>1</v>
      </c>
      <c r="S833" s="10" t="n">
        <f aca="false">IF(B833="mass",D833/E833,H833)</f>
        <v>0.13</v>
      </c>
      <c r="T833" s="12" t="n">
        <f aca="false">IF(B833="mass",F833*G833*D833,0)</f>
        <v>0</v>
      </c>
    </row>
    <row r="834" customFormat="false" ht="15" hidden="false" customHeight="false" outlineLevel="0" collapsed="false">
      <c r="A834" s="7" t="s">
        <v>43</v>
      </c>
      <c r="B834" s="7" t="str">
        <f aca="false">IF(C834="","none",IF(C834="Cavity","res","mass"))</f>
        <v>mass</v>
      </c>
      <c r="C834" s="7" t="str">
        <f aca="false">IF(INDEX(Library!$G$5:$G$34,$U$831)="","",INDEX(Library!$G$5:$G$34,$U$831))</f>
        <v>gypsum plaster</v>
      </c>
      <c r="D834" s="11" t="n">
        <f aca="false">IF(B834="mass",INDEX(Library!$H$5:$H$34,$U$831)/1000,0)</f>
        <v>0.013</v>
      </c>
      <c r="E834" s="7" t="n">
        <f aca="false">IF(B834="mass",INDEX(Materials!$B$5:$B$28,MATCH(C834,Materials!$A$5:$A$28,0)),0)</f>
        <v>0.5</v>
      </c>
      <c r="F834" s="7" t="n">
        <f aca="false">IF(B834="mass",INDEX(Materials!$C$5:$C$28,MATCH(C834,Materials!$A$5:$A$28,0)),0)</f>
        <v>1300</v>
      </c>
      <c r="G834" s="7" t="n">
        <f aca="false">IF(B834="mass",INDEX(Materials!$D$5:$D$28,MATCH(C834,Materials!$A$5:$A$28,0)),0)</f>
        <v>1000</v>
      </c>
      <c r="H834" s="10" t="n">
        <f aca="false">IF(B834="res",INDEX(Library!$H$5:$H$34,$U$831),0)</f>
        <v>0</v>
      </c>
      <c r="I834" s="11" t="n">
        <f aca="false">IF(B834="mass",SQRT(E834*($B$2*3600)/(PI()*F834*G834)),0)</f>
        <v>0.102847860316323</v>
      </c>
      <c r="J834" s="10" t="n">
        <f aca="false">IF(B834="mass",D834/I834,0)</f>
        <v>0.126400296126887</v>
      </c>
      <c r="K834" s="7" t="str">
        <f aca="false">IF(B834="mass",COMPLEX(COSH(J834)*COS(J834),SINH(J834)*SIN(J834)),COMPLEX(1,0))</f>
        <v>0.999957455752033+0.0159769895455509i</v>
      </c>
      <c r="L834" s="7" t="str">
        <f aca="false">IF(B834="mass",COMPLEX(-I834/(2*E834)*(SINH(J834)*COS(J834)+COSH(J834)*SIN(J834)),-I834/(2*E834)*(COSH(J834)*SIN(J834)-SINH(J834)*COS(J834))),COMPLEX(-H834,0))</f>
        <v>-0.0259997787698508-0.00013846746714729i</v>
      </c>
      <c r="M834" s="7" t="str">
        <f aca="false">IF(B834="mass",COMPLEX(-E834/I834*(SINH(J834)*COS(J834)-COSH(J834)*SIN(J834)),-E834/I834*(SINH(J834)*COS(J834)+COSH(J834)*SIN(J834))),COMPLEX(0,0))</f>
        <v>0.00654526494000515-1.22899222421088i</v>
      </c>
      <c r="N834" s="7" t="str">
        <f aca="false">K834</f>
        <v>0.999957455752033+0.0159769895455509i</v>
      </c>
      <c r="O834" s="7" t="str">
        <f aca="false">IMSUM(IMPRODUCT(K834,O833),IMPRODUCT(L834,Q833))</f>
        <v>0.999957455752033+0.0159769895455509i</v>
      </c>
      <c r="P834" s="7" t="str">
        <f aca="false">IMSUM(IMPRODUCT(K834,P833),IMPRODUCT(L834,R833))</f>
        <v>-0.155994248017615-0.00221547610806891i</v>
      </c>
      <c r="Q834" s="7" t="str">
        <f aca="false">IMSUM(IMPRODUCT(M834,O833),IMPRODUCT(N834,Q833))</f>
        <v>0.00654526494000515-1.22899222421088i</v>
      </c>
      <c r="R834" s="7" t="str">
        <f aca="false">IMSUM(IMPRODUCT(M834,P833),IMPRODUCT(N834,R833))</f>
        <v>0.999106571309832+0.175745978692965i</v>
      </c>
      <c r="S834" s="10" t="n">
        <f aca="false">IF(B834="mass",D834/E834,H834)</f>
        <v>0.026</v>
      </c>
      <c r="T834" s="12" t="n">
        <f aca="false">IF(B834="mass",F834*G834*D834,0)</f>
        <v>16900</v>
      </c>
    </row>
    <row r="835" customFormat="false" ht="15" hidden="false" customHeight="false" outlineLevel="0" collapsed="false">
      <c r="A835" s="7" t="s">
        <v>44</v>
      </c>
      <c r="B835" s="7" t="str">
        <f aca="false">IF(C835="","none",IF(C835="Cavity","res","mass"))</f>
        <v>mass</v>
      </c>
      <c r="C835" s="7" t="str">
        <f aca="false">IF(INDEX(Library!$I$5:$I$34,$U$831)="","",INDEX(Library!$I$5:$I$34,$U$831))</f>
        <v>dense block</v>
      </c>
      <c r="D835" s="11" t="n">
        <f aca="false">IF(B835="mass",INDEX(Library!$J$5:$J$34,$U$831)/1000,0)</f>
        <v>0.1</v>
      </c>
      <c r="E835" s="7" t="n">
        <f aca="false">IF(B835="mass",INDEX(Materials!$B$5:$B$28,MATCH(C835,Materials!$A$5:$A$28,0)),0)</f>
        <v>1.13</v>
      </c>
      <c r="F835" s="7" t="n">
        <f aca="false">IF(B835="mass",INDEX(Materials!$C$5:$C$28,MATCH(C835,Materials!$A$5:$A$28,0)),0)</f>
        <v>2000</v>
      </c>
      <c r="G835" s="7" t="n">
        <f aca="false">IF(B835="mass",INDEX(Materials!$D$5:$D$28,MATCH(C835,Materials!$A$5:$A$28,0)),0)</f>
        <v>1000</v>
      </c>
      <c r="H835" s="10" t="n">
        <f aca="false">IF(B835="res",INDEX(Library!$J$5:$J$34,$U$831),0)</f>
        <v>0</v>
      </c>
      <c r="I835" s="11" t="n">
        <f aca="false">IF(B835="mass",SQRT(E835*($B$2*3600)/(PI()*F835*G835)),0)</f>
        <v>0.124653982703915</v>
      </c>
      <c r="J835" s="10" t="n">
        <f aca="false">IF(B835="mass",D835/I835,0)</f>
        <v>0.802220657782957</v>
      </c>
      <c r="K835" s="7" t="str">
        <f aca="false">IF(B835="mass",COMPLEX(COSH(J835)*COS(J835),SINH(J835)*SIN(J835)),COMPLEX(1,0))</f>
        <v>0.931040246556561+0.640597397168838i</v>
      </c>
      <c r="L835" s="7" t="str">
        <f aca="false">IF(B835="mass",COMPLEX(-I835/(2*E835)*(SINH(J835)*COS(J835)+COSH(J835)*SIN(J835)),-I835/(2*E835)*(COSH(J835)*SIN(J835)-SINH(J835)*COS(J835))),COMPLEX(-H835,0))</f>
        <v>-0.0872745132646335-0.0189465784438884i</v>
      </c>
      <c r="M835" s="7" t="str">
        <f aca="false">IF(B835="mass",COMPLEX(-E835/I835*(SINH(J835)*COS(J835)-COSH(J835)*SIN(J835)),-E835/I835*(SINH(J835)*COS(J835)+COSH(J835)*SIN(J835))),COMPLEX(0,0))</f>
        <v>3.11390498909631-14.3437266565329i</v>
      </c>
      <c r="N835" s="7" t="str">
        <f aca="false">K835</f>
        <v>0.931040246556561+0.640597397168838i</v>
      </c>
      <c r="O835" s="7" t="str">
        <f aca="false">IMSUM(IMPRODUCT(K835,O834),IMPRODUCT(L835,Q834))</f>
        <v>0.896909385837204+0.762581051518449i</v>
      </c>
      <c r="P835" s="7" t="str">
        <f aca="false">IMSUM(IMPRODUCT(K835,P834),IMPRODUCT(L835,R834))</f>
        <v>-0.227684449646465-0.136260002451062i</v>
      </c>
      <c r="Q835" s="7" t="str">
        <f aca="false">IMSUM(IMPRODUCT(M835,O834),IMPRODUCT(N835,Q834))</f>
        <v>4.13632520623972-15.4334139297736i</v>
      </c>
      <c r="R835" s="7" t="str">
        <f aca="false">IMSUM(IMPRODUCT(M835,P834),IMPRODUCT(N835,R834))</f>
        <v>0.300096561094385+3.03429171985891i</v>
      </c>
      <c r="S835" s="10" t="n">
        <f aca="false">IF(B835="mass",D835/E835,H835)</f>
        <v>0.088495575221239</v>
      </c>
      <c r="T835" s="12" t="n">
        <f aca="false">IF(B835="mass",F835*G835*D835,0)</f>
        <v>200000</v>
      </c>
    </row>
    <row r="836" customFormat="false" ht="15" hidden="false" customHeight="false" outlineLevel="0" collapsed="false">
      <c r="A836" s="7" t="s">
        <v>45</v>
      </c>
      <c r="B836" s="7" t="str">
        <f aca="false">IF(C836="","none",IF(C836="Cavity","res","mass"))</f>
        <v>none</v>
      </c>
      <c r="C836" s="7" t="str">
        <f aca="false">IF(INDEX(Library!$K$5:$K$34,$U$831)="","",INDEX(Library!$K$5:$K$34,$U$831))</f>
        <v/>
      </c>
      <c r="D836" s="11" t="n">
        <f aca="false">IF(B836="mass",INDEX(Library!$L$5:$L$34,$U$831)/1000,0)</f>
        <v>0</v>
      </c>
      <c r="E836" s="7" t="n">
        <f aca="false">IF(B836="mass",INDEX(Materials!$B$5:$B$28,MATCH(C836,Materials!$A$5:$A$28,0)),0)</f>
        <v>0</v>
      </c>
      <c r="F836" s="7" t="n">
        <f aca="false">IF(B836="mass",INDEX(Materials!$C$5:$C$28,MATCH(C836,Materials!$A$5:$A$28,0)),0)</f>
        <v>0</v>
      </c>
      <c r="G836" s="7" t="n">
        <f aca="false">IF(B836="mass",INDEX(Materials!$D$5:$D$28,MATCH(C836,Materials!$A$5:$A$28,0)),0)</f>
        <v>0</v>
      </c>
      <c r="H836" s="10" t="n">
        <f aca="false">IF(B836="res",INDEX(Library!$L$5:$L$34,$U$831),0)</f>
        <v>0</v>
      </c>
      <c r="I836" s="11" t="n">
        <f aca="false">IF(B836="mass",SQRT(E836*($B$2*3600)/(PI()*F836*G836)),0)</f>
        <v>0</v>
      </c>
      <c r="J836" s="10" t="n">
        <f aca="false">IF(B836="mass",D836/I836,0)</f>
        <v>0</v>
      </c>
      <c r="K836" s="7" t="str">
        <f aca="false">IF(B836="mass",COMPLEX(COSH(J836)*COS(J836),SINH(J836)*SIN(J836)),COMPLEX(1,0))</f>
        <v>1</v>
      </c>
      <c r="L836" s="7" t="str">
        <f aca="false">IF(B836="mass",COMPLEX(-I836/(2*E836)*(SINH(J836)*COS(J836)+COSH(J836)*SIN(J836)),-I836/(2*E836)*(COSH(J836)*SIN(J836)-SINH(J836)*COS(J836))),COMPLEX(-H836,0))</f>
        <v>-0</v>
      </c>
      <c r="M836" s="7" t="str">
        <f aca="false">IF(B836="mass",COMPLEX(-E836/I836*(SINH(J836)*COS(J836)-COSH(J836)*SIN(J836)),-E836/I836*(SINH(J836)*COS(J836)+COSH(J836)*SIN(J836))),COMPLEX(0,0))</f>
        <v>0</v>
      </c>
      <c r="N836" s="7" t="str">
        <f aca="false">K836</f>
        <v>1</v>
      </c>
      <c r="O836" s="7" t="str">
        <f aca="false">IMSUM(IMPRODUCT(K836,O835),IMPRODUCT(L836,Q835))</f>
        <v>0.896909385837204+0.762581051518449i</v>
      </c>
      <c r="P836" s="7" t="str">
        <f aca="false">IMSUM(IMPRODUCT(K836,P835),IMPRODUCT(L836,R835))</f>
        <v>-0.227684449646465-0.136260002451062i</v>
      </c>
      <c r="Q836" s="7" t="str">
        <f aca="false">IMSUM(IMPRODUCT(M836,O835),IMPRODUCT(N836,Q835))</f>
        <v>4.13632520623972-15.4334139297736i</v>
      </c>
      <c r="R836" s="7" t="str">
        <f aca="false">IMSUM(IMPRODUCT(M836,P835),IMPRODUCT(N836,R835))</f>
        <v>0.300096561094385+3.03429171985891i</v>
      </c>
      <c r="S836" s="10" t="n">
        <f aca="false">IF(B836="mass",D836/E836,H836)</f>
        <v>0</v>
      </c>
      <c r="T836" s="12" t="n">
        <f aca="false">IF(B836="mass",F836*G836*D836,0)</f>
        <v>0</v>
      </c>
    </row>
    <row r="837" customFormat="false" ht="15" hidden="false" customHeight="false" outlineLevel="0" collapsed="false">
      <c r="A837" s="7" t="s">
        <v>46</v>
      </c>
      <c r="B837" s="7" t="str">
        <f aca="false">IF(C837="","none",IF(C837="Cavity","res","mass"))</f>
        <v>none</v>
      </c>
      <c r="C837" s="7" t="str">
        <f aca="false">IF(INDEX(Library!$M$5:$M$34,$U$831)="","",INDEX(Library!$M$5:$M$34,$U$831))</f>
        <v/>
      </c>
      <c r="D837" s="11" t="n">
        <f aca="false">IF(B837="mass",INDEX(Library!$N$5:$N$34,$U$831)/1000,0)</f>
        <v>0</v>
      </c>
      <c r="E837" s="7" t="n">
        <f aca="false">IF(B837="mass",INDEX(Materials!$B$5:$B$28,MATCH(C837,Materials!$A$5:$A$28,0)),0)</f>
        <v>0</v>
      </c>
      <c r="F837" s="7" t="n">
        <f aca="false">IF(B837="mass",INDEX(Materials!$C$5:$C$28,MATCH(C837,Materials!$A$5:$A$28,0)),0)</f>
        <v>0</v>
      </c>
      <c r="G837" s="7" t="n">
        <f aca="false">IF(B837="mass",INDEX(Materials!$D$5:$D$28,MATCH(C837,Materials!$A$5:$A$28,0)),0)</f>
        <v>0</v>
      </c>
      <c r="H837" s="10" t="n">
        <f aca="false">IF(B837="res",INDEX(Library!$N$5:$N$34,$U$831),0)</f>
        <v>0</v>
      </c>
      <c r="I837" s="11" t="n">
        <f aca="false">IF(B837="mass",SQRT(E837*($B$2*3600)/(PI()*F837*G837)),0)</f>
        <v>0</v>
      </c>
      <c r="J837" s="10" t="n">
        <f aca="false">IF(B837="mass",D837/I837,0)</f>
        <v>0</v>
      </c>
      <c r="K837" s="7" t="str">
        <f aca="false">IF(B837="mass",COMPLEX(COSH(J837)*COS(J837),SINH(J837)*SIN(J837)),COMPLEX(1,0))</f>
        <v>1</v>
      </c>
      <c r="L837" s="7" t="str">
        <f aca="false">IF(B837="mass",COMPLEX(-I837/(2*E837)*(SINH(J837)*COS(J837)+COSH(J837)*SIN(J837)),-I837/(2*E837)*(COSH(J837)*SIN(J837)-SINH(J837)*COS(J837))),COMPLEX(-H837,0))</f>
        <v>-0</v>
      </c>
      <c r="M837" s="7" t="str">
        <f aca="false">IF(B837="mass",COMPLEX(-E837/I837*(SINH(J837)*COS(J837)-COSH(J837)*SIN(J837)),-E837/I837*(SINH(J837)*COS(J837)+COSH(J837)*SIN(J837))),COMPLEX(0,0))</f>
        <v>0</v>
      </c>
      <c r="N837" s="7" t="str">
        <f aca="false">K837</f>
        <v>1</v>
      </c>
      <c r="O837" s="7" t="str">
        <f aca="false">IMSUM(IMPRODUCT(K837,O836),IMPRODUCT(L837,Q836))</f>
        <v>0.896909385837204+0.762581051518449i</v>
      </c>
      <c r="P837" s="7" t="str">
        <f aca="false">IMSUM(IMPRODUCT(K837,P836),IMPRODUCT(L837,R836))</f>
        <v>-0.227684449646465-0.136260002451062i</v>
      </c>
      <c r="Q837" s="7" t="str">
        <f aca="false">IMSUM(IMPRODUCT(M837,O836),IMPRODUCT(N837,Q836))</f>
        <v>4.13632520623972-15.4334139297736i</v>
      </c>
      <c r="R837" s="7" t="str">
        <f aca="false">IMSUM(IMPRODUCT(M837,P836),IMPRODUCT(N837,R836))</f>
        <v>0.300096561094385+3.03429171985891i</v>
      </c>
      <c r="S837" s="10" t="n">
        <f aca="false">IF(B837="mass",D837/E837,H837)</f>
        <v>0</v>
      </c>
      <c r="T837" s="12" t="n">
        <f aca="false">IF(B837="mass",F837*G837*D837,0)</f>
        <v>0</v>
      </c>
    </row>
    <row r="838" customFormat="false" ht="15" hidden="false" customHeight="false" outlineLevel="0" collapsed="false">
      <c r="A838" s="7" t="s">
        <v>47</v>
      </c>
      <c r="B838" s="7" t="str">
        <f aca="false">IF(C838="","none",IF(C838="Cavity","res","mass"))</f>
        <v>none</v>
      </c>
      <c r="C838" s="7" t="str">
        <f aca="false">IF(INDEX(Library!$O$5:$O$34,$U$831)="","",INDEX(Library!$O$5:$O$34,$U$831))</f>
        <v/>
      </c>
      <c r="D838" s="11" t="n">
        <f aca="false">IF(B838="mass",INDEX(Library!$P$5:$P$34,$U$831)/1000,0)</f>
        <v>0</v>
      </c>
      <c r="E838" s="7" t="n">
        <f aca="false">IF(B838="mass",INDEX(Materials!$B$5:$B$28,MATCH(C838,Materials!$A$5:$A$28,0)),0)</f>
        <v>0</v>
      </c>
      <c r="F838" s="7" t="n">
        <f aca="false">IF(B838="mass",INDEX(Materials!$C$5:$C$28,MATCH(C838,Materials!$A$5:$A$28,0)),0)</f>
        <v>0</v>
      </c>
      <c r="G838" s="7" t="n">
        <f aca="false">IF(B838="mass",INDEX(Materials!$D$5:$D$28,MATCH(C838,Materials!$A$5:$A$28,0)),0)</f>
        <v>0</v>
      </c>
      <c r="H838" s="10" t="n">
        <f aca="false">IF(B838="res",INDEX(Library!$P$5:$P$34,$U$831),0)</f>
        <v>0</v>
      </c>
      <c r="I838" s="11" t="n">
        <f aca="false">IF(B838="mass",SQRT(E838*($B$2*3600)/(PI()*F838*G838)),0)</f>
        <v>0</v>
      </c>
      <c r="J838" s="10" t="n">
        <f aca="false">IF(B838="mass",D838/I838,0)</f>
        <v>0</v>
      </c>
      <c r="K838" s="7" t="str">
        <f aca="false">IF(B838="mass",COMPLEX(COSH(J838)*COS(J838),SINH(J838)*SIN(J838)),COMPLEX(1,0))</f>
        <v>1</v>
      </c>
      <c r="L838" s="7" t="str">
        <f aca="false">IF(B838="mass",COMPLEX(-I838/(2*E838)*(SINH(J838)*COS(J838)+COSH(J838)*SIN(J838)),-I838/(2*E838)*(COSH(J838)*SIN(J838)-SINH(J838)*COS(J838))),COMPLEX(-H838,0))</f>
        <v>-0</v>
      </c>
      <c r="M838" s="7" t="str">
        <f aca="false">IF(B838="mass",COMPLEX(-E838/I838*(SINH(J838)*COS(J838)-COSH(J838)*SIN(J838)),-E838/I838*(SINH(J838)*COS(J838)+COSH(J838)*SIN(J838))),COMPLEX(0,0))</f>
        <v>0</v>
      </c>
      <c r="N838" s="7" t="str">
        <f aca="false">K838</f>
        <v>1</v>
      </c>
      <c r="O838" s="7" t="str">
        <f aca="false">IMSUM(IMPRODUCT(K838,O837),IMPRODUCT(L838,Q837))</f>
        <v>0.896909385837204+0.762581051518449i</v>
      </c>
      <c r="P838" s="7" t="str">
        <f aca="false">IMSUM(IMPRODUCT(K838,P837),IMPRODUCT(L838,R837))</f>
        <v>-0.227684449646465-0.136260002451062i</v>
      </c>
      <c r="Q838" s="7" t="str">
        <f aca="false">IMSUM(IMPRODUCT(M838,O837),IMPRODUCT(N838,Q837))</f>
        <v>4.13632520623972-15.4334139297736i</v>
      </c>
      <c r="R838" s="7" t="str">
        <f aca="false">IMSUM(IMPRODUCT(M838,P837),IMPRODUCT(N838,R837))</f>
        <v>0.300096561094385+3.03429171985891i</v>
      </c>
      <c r="S838" s="10" t="n">
        <f aca="false">IF(B838="mass",D838/E838,H838)</f>
        <v>0</v>
      </c>
      <c r="T838" s="12" t="n">
        <f aca="false">IF(B838="mass",F838*G838*D838,0)</f>
        <v>0</v>
      </c>
    </row>
    <row r="839" customFormat="false" ht="15" hidden="false" customHeight="false" outlineLevel="0" collapsed="false">
      <c r="A839" s="7" t="s">
        <v>48</v>
      </c>
      <c r="B839" s="7" t="str">
        <f aca="false">IF(C839="","none",IF(C839="Cavity","res","mass"))</f>
        <v>none</v>
      </c>
      <c r="C839" s="7" t="str">
        <f aca="false">IF(INDEX(Library!$Q$5:$Q$34,$U$831)="","",INDEX(Library!$Q$5:$Q$34,$U$831))</f>
        <v/>
      </c>
      <c r="D839" s="11" t="n">
        <f aca="false">IF(B839="mass",INDEX(Library!$R$5:$R$34,$U$831)/1000,0)</f>
        <v>0</v>
      </c>
      <c r="E839" s="7" t="n">
        <f aca="false">IF(B839="mass",INDEX(Materials!$B$5:$B$28,MATCH(C839,Materials!$A$5:$A$28,0)),0)</f>
        <v>0</v>
      </c>
      <c r="F839" s="7" t="n">
        <f aca="false">IF(B839="mass",INDEX(Materials!$C$5:$C$28,MATCH(C839,Materials!$A$5:$A$28,0)),0)</f>
        <v>0</v>
      </c>
      <c r="G839" s="7" t="n">
        <f aca="false">IF(B839="mass",INDEX(Materials!$D$5:$D$28,MATCH(C839,Materials!$A$5:$A$28,0)),0)</f>
        <v>0</v>
      </c>
      <c r="H839" s="10" t="n">
        <f aca="false">IF(B839="res",INDEX(Library!$R$5:$R$34,$U$831),0)</f>
        <v>0</v>
      </c>
      <c r="I839" s="11" t="n">
        <f aca="false">IF(B839="mass",SQRT(E839*($B$2*3600)/(PI()*F839*G839)),0)</f>
        <v>0</v>
      </c>
      <c r="J839" s="10" t="n">
        <f aca="false">IF(B839="mass",D839/I839,0)</f>
        <v>0</v>
      </c>
      <c r="K839" s="7" t="str">
        <f aca="false">IF(B839="mass",COMPLEX(COSH(J839)*COS(J839),SINH(J839)*SIN(J839)),COMPLEX(1,0))</f>
        <v>1</v>
      </c>
      <c r="L839" s="7" t="str">
        <f aca="false">IF(B839="mass",COMPLEX(-I839/(2*E839)*(SINH(J839)*COS(J839)+COSH(J839)*SIN(J839)),-I839/(2*E839)*(COSH(J839)*SIN(J839)-SINH(J839)*COS(J839))),COMPLEX(-H839,0))</f>
        <v>-0</v>
      </c>
      <c r="M839" s="7" t="str">
        <f aca="false">IF(B839="mass",COMPLEX(-E839/I839*(SINH(J839)*COS(J839)-COSH(J839)*SIN(J839)),-E839/I839*(SINH(J839)*COS(J839)+COSH(J839)*SIN(J839))),COMPLEX(0,0))</f>
        <v>0</v>
      </c>
      <c r="N839" s="7" t="str">
        <f aca="false">K839</f>
        <v>1</v>
      </c>
      <c r="O839" s="7" t="str">
        <f aca="false">IMSUM(IMPRODUCT(K839,O838),IMPRODUCT(L839,Q838))</f>
        <v>0.896909385837204+0.762581051518449i</v>
      </c>
      <c r="P839" s="7" t="str">
        <f aca="false">IMSUM(IMPRODUCT(K839,P838),IMPRODUCT(L839,R838))</f>
        <v>-0.227684449646465-0.136260002451062i</v>
      </c>
      <c r="Q839" s="7" t="str">
        <f aca="false">IMSUM(IMPRODUCT(M839,O838),IMPRODUCT(N839,Q838))</f>
        <v>4.13632520623972-15.4334139297736i</v>
      </c>
      <c r="R839" s="7" t="str">
        <f aca="false">IMSUM(IMPRODUCT(M839,P838),IMPRODUCT(N839,R838))</f>
        <v>0.300096561094385+3.03429171985891i</v>
      </c>
      <c r="S839" s="10" t="n">
        <f aca="false">IF(B839="mass",D839/E839,H839)</f>
        <v>0</v>
      </c>
      <c r="T839" s="12" t="n">
        <f aca="false">IF(B839="mass",F839*G839*D839,0)</f>
        <v>0</v>
      </c>
    </row>
    <row r="840" customFormat="false" ht="15" hidden="false" customHeight="false" outlineLevel="0" collapsed="false">
      <c r="A840" s="7" t="s">
        <v>49</v>
      </c>
      <c r="B840" s="7" t="str">
        <f aca="false">IF(C840="","none",IF(C840="Cavity","res","mass"))</f>
        <v>none</v>
      </c>
      <c r="C840" s="7" t="str">
        <f aca="false">IF(INDEX(Library!$S$5:$S$34,$U$831)="","",INDEX(Library!$S$5:$S$34,$U$831))</f>
        <v/>
      </c>
      <c r="D840" s="11" t="n">
        <f aca="false">IF(B840="mass",INDEX(Library!$T$5:$T$34,$U$831)/1000,0)</f>
        <v>0</v>
      </c>
      <c r="E840" s="7" t="n">
        <f aca="false">IF(B840="mass",INDEX(Materials!$B$5:$B$28,MATCH(C840,Materials!$A$5:$A$28,0)),0)</f>
        <v>0</v>
      </c>
      <c r="F840" s="7" t="n">
        <f aca="false">IF(B840="mass",INDEX(Materials!$C$5:$C$28,MATCH(C840,Materials!$A$5:$A$28,0)),0)</f>
        <v>0</v>
      </c>
      <c r="G840" s="7" t="n">
        <f aca="false">IF(B840="mass",INDEX(Materials!$D$5:$D$28,MATCH(C840,Materials!$A$5:$A$28,0)),0)</f>
        <v>0</v>
      </c>
      <c r="H840" s="10" t="n">
        <f aca="false">IF(B840="res",INDEX(Library!$T$5:$T$34,$U$831),0)</f>
        <v>0</v>
      </c>
      <c r="I840" s="11" t="n">
        <f aca="false">IF(B840="mass",SQRT(E840*($B$2*3600)/(PI()*F840*G840)),0)</f>
        <v>0</v>
      </c>
      <c r="J840" s="10" t="n">
        <f aca="false">IF(B840="mass",D840/I840,0)</f>
        <v>0</v>
      </c>
      <c r="K840" s="7" t="str">
        <f aca="false">IF(B840="mass",COMPLEX(COSH(J840)*COS(J840),SINH(J840)*SIN(J840)),COMPLEX(1,0))</f>
        <v>1</v>
      </c>
      <c r="L840" s="7" t="str">
        <f aca="false">IF(B840="mass",COMPLEX(-I840/(2*E840)*(SINH(J840)*COS(J840)+COSH(J840)*SIN(J840)),-I840/(2*E840)*(COSH(J840)*SIN(J840)-SINH(J840)*COS(J840))),COMPLEX(-H840,0))</f>
        <v>-0</v>
      </c>
      <c r="M840" s="7" t="str">
        <f aca="false">IF(B840="mass",COMPLEX(-E840/I840*(SINH(J840)*COS(J840)-COSH(J840)*SIN(J840)),-E840/I840*(SINH(J840)*COS(J840)+COSH(J840)*SIN(J840))),COMPLEX(0,0))</f>
        <v>0</v>
      </c>
      <c r="N840" s="7" t="str">
        <f aca="false">K840</f>
        <v>1</v>
      </c>
      <c r="O840" s="7" t="str">
        <f aca="false">IMSUM(IMPRODUCT(K840,O839),IMPRODUCT(L840,Q839))</f>
        <v>0.896909385837204+0.762581051518449i</v>
      </c>
      <c r="P840" s="7" t="str">
        <f aca="false">IMSUM(IMPRODUCT(K840,P839),IMPRODUCT(L840,R839))</f>
        <v>-0.227684449646465-0.136260002451062i</v>
      </c>
      <c r="Q840" s="7" t="str">
        <f aca="false">IMSUM(IMPRODUCT(M840,O839),IMPRODUCT(N840,Q839))</f>
        <v>4.13632520623972-15.4334139297736i</v>
      </c>
      <c r="R840" s="7" t="str">
        <f aca="false">IMSUM(IMPRODUCT(M840,P839),IMPRODUCT(N840,R839))</f>
        <v>0.300096561094385+3.03429171985891i</v>
      </c>
      <c r="S840" s="10" t="n">
        <f aca="false">IF(B840="mass",D840/E840,H840)</f>
        <v>0</v>
      </c>
      <c r="T840" s="12" t="n">
        <f aca="false">IF(B840="mass",F840*G840*D840,0)</f>
        <v>0</v>
      </c>
    </row>
    <row r="841" customFormat="false" ht="15" hidden="false" customHeight="false" outlineLevel="0" collapsed="false">
      <c r="A841" s="7" t="s">
        <v>50</v>
      </c>
      <c r="B841" s="7" t="str">
        <f aca="false">IF(C841="","none",IF(C841="Cavity","res","mass"))</f>
        <v>none</v>
      </c>
      <c r="C841" s="7" t="str">
        <f aca="false">IF(INDEX(Library!$U$5:$U$34,$U$831)="","",INDEX(Library!$U$5:$U$34,$U$831))</f>
        <v/>
      </c>
      <c r="D841" s="11" t="n">
        <f aca="false">IF(B841="mass",INDEX(Library!$V$5:$V$34,$U$831)/1000,0)</f>
        <v>0</v>
      </c>
      <c r="E841" s="7" t="n">
        <f aca="false">IF(B841="mass",INDEX(Materials!$B$5:$B$28,MATCH(C841,Materials!$A$5:$A$28,0)),0)</f>
        <v>0</v>
      </c>
      <c r="F841" s="7" t="n">
        <f aca="false">IF(B841="mass",INDEX(Materials!$C$5:$C$28,MATCH(C841,Materials!$A$5:$A$28,0)),0)</f>
        <v>0</v>
      </c>
      <c r="G841" s="7" t="n">
        <f aca="false">IF(B841="mass",INDEX(Materials!$D$5:$D$28,MATCH(C841,Materials!$A$5:$A$28,0)),0)</f>
        <v>0</v>
      </c>
      <c r="H841" s="10" t="n">
        <f aca="false">IF(B841="res",INDEX(Library!$V$5:$V$34,$U$831),0)</f>
        <v>0</v>
      </c>
      <c r="I841" s="11" t="n">
        <f aca="false">IF(B841="mass",SQRT(E841*($B$2*3600)/(PI()*F841*G841)),0)</f>
        <v>0</v>
      </c>
      <c r="J841" s="10" t="n">
        <f aca="false">IF(B841="mass",D841/I841,0)</f>
        <v>0</v>
      </c>
      <c r="K841" s="7" t="str">
        <f aca="false">IF(B841="mass",COMPLEX(COSH(J841)*COS(J841),SINH(J841)*SIN(J841)),COMPLEX(1,0))</f>
        <v>1</v>
      </c>
      <c r="L841" s="7" t="str">
        <f aca="false">IF(B841="mass",COMPLEX(-I841/(2*E841)*(SINH(J841)*COS(J841)+COSH(J841)*SIN(J841)),-I841/(2*E841)*(COSH(J841)*SIN(J841)-SINH(J841)*COS(J841))),COMPLEX(-H841,0))</f>
        <v>-0</v>
      </c>
      <c r="M841" s="7" t="str">
        <f aca="false">IF(B841="mass",COMPLEX(-E841/I841*(SINH(J841)*COS(J841)-COSH(J841)*SIN(J841)),-E841/I841*(SINH(J841)*COS(J841)+COSH(J841)*SIN(J841))),COMPLEX(0,0))</f>
        <v>0</v>
      </c>
      <c r="N841" s="7" t="str">
        <f aca="false">K841</f>
        <v>1</v>
      </c>
      <c r="O841" s="7" t="str">
        <f aca="false">IMSUM(IMPRODUCT(K841,O840),IMPRODUCT(L841,Q840))</f>
        <v>0.896909385837204+0.762581051518449i</v>
      </c>
      <c r="P841" s="7" t="str">
        <f aca="false">IMSUM(IMPRODUCT(K841,P840),IMPRODUCT(L841,R840))</f>
        <v>-0.227684449646465-0.136260002451062i</v>
      </c>
      <c r="Q841" s="7" t="str">
        <f aca="false">IMSUM(IMPRODUCT(M841,O840),IMPRODUCT(N841,Q840))</f>
        <v>4.13632520623972-15.4334139297736i</v>
      </c>
      <c r="R841" s="7" t="str">
        <f aca="false">IMSUM(IMPRODUCT(M841,P840),IMPRODUCT(N841,R840))</f>
        <v>0.300096561094385+3.03429171985891i</v>
      </c>
      <c r="S841" s="10" t="n">
        <f aca="false">IF(B841="mass",D841/E841,H841)</f>
        <v>0</v>
      </c>
      <c r="T841" s="12" t="n">
        <f aca="false">IF(B841="mass",F841*G841*D841,0)</f>
        <v>0</v>
      </c>
    </row>
    <row r="842" customFormat="false" ht="15" hidden="false" customHeight="false" outlineLevel="0" collapsed="false">
      <c r="A842" s="7" t="s">
        <v>51</v>
      </c>
      <c r="B842" s="7" t="str">
        <f aca="false">IF($W$831="ground","mass",IF($W$831="adiabatic","res","none"))</f>
        <v>res</v>
      </c>
      <c r="C842" s="7" t="str">
        <f aca="false">IF($W$831="ground","clay soil","")</f>
        <v/>
      </c>
      <c r="D842" s="11" t="n">
        <f aca="false">IF(B842="mass",1,0)</f>
        <v>0</v>
      </c>
      <c r="E842" s="7" t="n">
        <f aca="false">IF(B842="mass",INDEX(Materials!$B$5:$B$28,MATCH(C842,Materials!$A$5:$A$28,0)),0)</f>
        <v>0</v>
      </c>
      <c r="F842" s="7" t="n">
        <f aca="false">IF(B842="mass",INDEX(Materials!$C$5:$C$28,MATCH(C842,Materials!$A$5:$A$28,0)),0)</f>
        <v>0</v>
      </c>
      <c r="G842" s="7" t="n">
        <f aca="false">IF(B842="mass",INDEX(Materials!$D$5:$D$28,MATCH(C842,Materials!$A$5:$A$28,0)),0)</f>
        <v>0</v>
      </c>
      <c r="H842" s="12" t="n">
        <f aca="false">IF(B842="res",1000000,0)</f>
        <v>1000000</v>
      </c>
      <c r="I842" s="11" t="n">
        <f aca="false">IF(B842="mass",SQRT(E842*($B$2*3600)/(PI()*F842*G842)),0)</f>
        <v>0</v>
      </c>
      <c r="J842" s="10" t="n">
        <f aca="false">IF(B842="mass",D842/I842,0)</f>
        <v>0</v>
      </c>
      <c r="K842" s="7" t="str">
        <f aca="false">IF(B842="mass",COMPLEX(COSH(J842)*COS(J842),SINH(J842)*SIN(J842)),COMPLEX(1,0))</f>
        <v>1</v>
      </c>
      <c r="L842" s="7" t="str">
        <f aca="false">IF(B842="mass",COMPLEX(-I842/(2*E842)*(SINH(J842)*COS(J842)+COSH(J842)*SIN(J842)),-I842/(2*E842)*(COSH(J842)*SIN(J842)-SINH(J842)*COS(J842))),COMPLEX(-H842,0))</f>
        <v>-1000000</v>
      </c>
      <c r="M842" s="7" t="str">
        <f aca="false">IF(B842="mass",COMPLEX(-E842/I842*(SINH(J842)*COS(J842)-COSH(J842)*SIN(J842)),-E842/I842*(SINH(J842)*COS(J842)+COSH(J842)*SIN(J842))),COMPLEX(0,0))</f>
        <v>0</v>
      </c>
      <c r="N842" s="7" t="str">
        <f aca="false">K842</f>
        <v>1</v>
      </c>
      <c r="O842" s="7" t="str">
        <f aca="false">IMSUM(IMPRODUCT(K842,O841),IMPRODUCT(L842,Q841))</f>
        <v>-4136324.30933033+15433414.6923547i</v>
      </c>
      <c r="P842" s="7" t="str">
        <f aca="false">IMSUM(IMPRODUCT(K842,P841),IMPRODUCT(L842,R841))</f>
        <v>-300096.788778835-3034291.85611891i</v>
      </c>
      <c r="Q842" s="7" t="str">
        <f aca="false">IMSUM(IMPRODUCT(M842,O841),IMPRODUCT(N842,Q841))</f>
        <v>4.13632520623972-15.4334139297736i</v>
      </c>
      <c r="R842" s="7" t="str">
        <f aca="false">IMSUM(IMPRODUCT(M842,P841),IMPRODUCT(N842,R841))</f>
        <v>0.300096561094385+3.03429171985891i</v>
      </c>
      <c r="S842" s="10" t="n">
        <f aca="false">IF(B842="mass",D842/E842,H842)</f>
        <v>1000000</v>
      </c>
      <c r="T842" s="12" t="n">
        <f aca="false">IF(B842="mass",F842*G842*D842,0)</f>
        <v>0</v>
      </c>
    </row>
    <row r="843" customFormat="false" ht="15" hidden="false" customHeight="false" outlineLevel="0" collapsed="false">
      <c r="A843" s="7" t="s">
        <v>52</v>
      </c>
      <c r="B843" s="7" t="s">
        <v>42</v>
      </c>
      <c r="H843" s="10" t="n">
        <f aca="false">IF($W$831="ext",0.04,IF($W$831="room",$Y$831,0))</f>
        <v>0</v>
      </c>
      <c r="I843" s="11" t="n">
        <f aca="false">IF(B843="mass",SQRT(E843*($B$2*3600)/(PI()*F843*G843)),0)</f>
        <v>0</v>
      </c>
      <c r="J843" s="10" t="n">
        <f aca="false">IF(B843="mass",D843/I843,0)</f>
        <v>0</v>
      </c>
      <c r="K843" s="7" t="str">
        <f aca="false">IF(B843="mass",COMPLEX(COSH(J843)*COS(J843),SINH(J843)*SIN(J843)),COMPLEX(1,0))</f>
        <v>1</v>
      </c>
      <c r="L843" s="7" t="str">
        <f aca="false">IF(B843="mass",COMPLEX(-I843/(2*E843)*(SINH(J843)*COS(J843)+COSH(J843)*SIN(J843)),-I843/(2*E843)*(COSH(J843)*SIN(J843)-SINH(J843)*COS(J843))),COMPLEX(-H843,0))</f>
        <v>-0</v>
      </c>
      <c r="M843" s="7" t="str">
        <f aca="false">IF(B843="mass",COMPLEX(-E843/I843*(SINH(J843)*COS(J843)-COSH(J843)*SIN(J843)),-E843/I843*(SINH(J843)*COS(J843)+COSH(J843)*SIN(J843))),COMPLEX(0,0))</f>
        <v>0</v>
      </c>
      <c r="N843" s="7" t="str">
        <f aca="false">K843</f>
        <v>1</v>
      </c>
      <c r="O843" s="7" t="str">
        <f aca="false">IMSUM(IMPRODUCT(K843,O842),IMPRODUCT(L843,Q842))</f>
        <v>-4136324.30933033+15433414.6923547i</v>
      </c>
      <c r="P843" s="7" t="str">
        <f aca="false">IMSUM(IMPRODUCT(K843,P842),IMPRODUCT(L843,R842))</f>
        <v>-300096.788778835-3034291.85611891i</v>
      </c>
      <c r="Q843" s="7" t="str">
        <f aca="false">IMSUM(IMPRODUCT(M843,O842),IMPRODUCT(N843,Q842))</f>
        <v>4.13632520623972-15.4334139297736i</v>
      </c>
      <c r="R843" s="7" t="str">
        <f aca="false">IMSUM(IMPRODUCT(M843,P842),IMPRODUCT(N843,R842))</f>
        <v>0.300096561094385+3.03429171985891i</v>
      </c>
      <c r="S843" s="10" t="n">
        <f aca="false">IF(B843="mass",D843/E843,H843)</f>
        <v>0</v>
      </c>
      <c r="T843" s="12" t="n">
        <f aca="false">IF(B843="mass",F843*G843*D843,0)</f>
        <v>0</v>
      </c>
    </row>
    <row r="844" customFormat="false" ht="15" hidden="false" customHeight="false" outlineLevel="0" collapsed="false">
      <c r="A844" s="9" t="s">
        <v>53</v>
      </c>
      <c r="B844" s="13" t="str">
        <f aca="false">IF(OR($W$831="ext",$W$831="ground"),1/SUM(S833:S843),"–")</f>
        <v>–</v>
      </c>
      <c r="C844" s="9" t="s">
        <v>54</v>
      </c>
      <c r="D844" s="13" t="n">
        <f aca="false">IMABS(IMDIV(IMPRODUCT(O843,COMPLEX(-1,0)),P843))</f>
        <v>5.2402726781912</v>
      </c>
      <c r="E844" s="9" t="s">
        <v>55</v>
      </c>
      <c r="F844" s="14" t="n">
        <f aca="false">IMARGUMENT(IMDIV(IMPRODUCT(O843,COMPLEX(-1,0)),P843))*$B$2/(2*PI())</f>
        <v>1.37677243722032</v>
      </c>
      <c r="G844" s="9" t="s">
        <v>56</v>
      </c>
      <c r="H844" s="13" t="str">
        <f aca="false">IF($W$831="ext",IMABS(IMDIV(COMPLEX(-1,0),P843))*SUM(S833:S843),"–")</f>
        <v>–</v>
      </c>
      <c r="I844" s="9" t="s">
        <v>57</v>
      </c>
      <c r="J844" s="14" t="str">
        <f aca="false">IF($W$831="ext",MOD(-IMARGUMENT(IMDIV(COMPLEX(-1,0),P843))*$B$2/(2*PI()),24),"–")</f>
        <v>–</v>
      </c>
      <c r="K844" s="9" t="s">
        <v>58</v>
      </c>
      <c r="L844" s="15" t="n">
        <f aca="false">($B$2*3600)/(2*PI())*IMABS(IMDIV(IMSUB(O843,COMPLEX(1,0)),P843))/1000</f>
        <v>72.0589230774256</v>
      </c>
      <c r="M844" s="9" t="s">
        <v>59</v>
      </c>
      <c r="N844" s="15" t="n">
        <f aca="false">SUM(T834:T841)/1000</f>
        <v>216.9</v>
      </c>
      <c r="O844" s="9" t="s">
        <v>60</v>
      </c>
      <c r="P844" s="16" t="n">
        <f aca="false">SUM(S834:S841)</f>
        <v>0.114495575221239</v>
      </c>
    </row>
    <row r="846" customFormat="false" ht="15" hidden="false" customHeight="false" outlineLevel="0" collapsed="false">
      <c r="A846" s="4" t="s">
        <v>149</v>
      </c>
    </row>
    <row r="847" customFormat="false" ht="15" hidden="false" customHeight="false" outlineLevel="0" collapsed="false">
      <c r="A847" s="9"/>
      <c r="B847" s="9" t="s">
        <v>62</v>
      </c>
      <c r="C847" s="9" t="s">
        <v>63</v>
      </c>
      <c r="D847" s="9"/>
      <c r="E847" s="9"/>
      <c r="F847" s="9"/>
      <c r="G847" s="9"/>
      <c r="H847" s="9"/>
      <c r="I847" s="9"/>
      <c r="J847" s="9"/>
      <c r="K847" s="9" t="s">
        <v>32</v>
      </c>
      <c r="L847" s="9" t="s">
        <v>33</v>
      </c>
      <c r="M847" s="9" t="s">
        <v>34</v>
      </c>
      <c r="N847" s="9" t="s">
        <v>35</v>
      </c>
      <c r="O847" s="9" t="s">
        <v>36</v>
      </c>
      <c r="P847" s="9" t="s">
        <v>37</v>
      </c>
      <c r="Q847" s="9" t="s">
        <v>38</v>
      </c>
      <c r="R847" s="9" t="s">
        <v>39</v>
      </c>
    </row>
    <row r="848" customFormat="false" ht="15" hidden="false" customHeight="false" outlineLevel="0" collapsed="false">
      <c r="A848" s="7" t="s">
        <v>22</v>
      </c>
      <c r="B848" s="7" t="s">
        <v>42</v>
      </c>
      <c r="C848" s="10" t="n">
        <f aca="false">$Y$831</f>
        <v>0.13</v>
      </c>
      <c r="K848" s="7" t="str">
        <f aca="false">COMPLEX(1,0)</f>
        <v>1</v>
      </c>
      <c r="L848" s="7" t="str">
        <f aca="false">COMPLEX(-C848,0)</f>
        <v>-0.13</v>
      </c>
      <c r="M848" s="7" t="str">
        <f aca="false">COMPLEX(0,0)</f>
        <v>0</v>
      </c>
      <c r="N848" s="7" t="str">
        <f aca="false">COMPLEX(1,0)</f>
        <v>1</v>
      </c>
      <c r="O848" s="7" t="str">
        <f aca="false">K848</f>
        <v>1</v>
      </c>
      <c r="P848" s="7" t="str">
        <f aca="false">L848</f>
        <v>-0.13</v>
      </c>
      <c r="Q848" s="7" t="str">
        <f aca="false">M848</f>
        <v>0</v>
      </c>
      <c r="R848" s="7" t="str">
        <f aca="false">N848</f>
        <v>1</v>
      </c>
    </row>
    <row r="849" customFormat="false" ht="15" hidden="false" customHeight="false" outlineLevel="0" collapsed="false">
      <c r="A849" s="7" t="s">
        <v>64</v>
      </c>
      <c r="B849" s="7" t="s">
        <v>65</v>
      </c>
      <c r="C849" s="10" t="n">
        <f aca="false">INDEX(Classes!$B$5:$F$9,MATCH(Engine!$C$830,Classes!$A$5:$A$9,0),5)*(N844*1000)</f>
        <v>27112.5</v>
      </c>
      <c r="K849" s="7" t="str">
        <f aca="false">COMPLEX(1,0)</f>
        <v>1</v>
      </c>
      <c r="L849" s="7" t="str">
        <f aca="false">COMPLEX(0,0)</f>
        <v>0</v>
      </c>
      <c r="M849" s="7" t="str">
        <f aca="false">COMPLEX(0,-(2*PI()/($B$2*3600))*C849)</f>
        <v>-1.97167663936234i</v>
      </c>
      <c r="N849" s="7" t="str">
        <f aca="false">COMPLEX(1,0)</f>
        <v>1</v>
      </c>
      <c r="O849" s="7" t="str">
        <f aca="false">IMSUM(IMPRODUCT(K849,O848),IMPRODUCT(L849,Q848))</f>
        <v>1</v>
      </c>
      <c r="P849" s="7" t="str">
        <f aca="false">IMSUM(IMPRODUCT(K849,P848),IMPRODUCT(L849,R848))</f>
        <v>-0.13</v>
      </c>
      <c r="Q849" s="7" t="str">
        <f aca="false">IMSUM(IMPRODUCT(M849,O848),IMPRODUCT(N849,Q848))</f>
        <v>-1.97167663936234i</v>
      </c>
      <c r="R849" s="7" t="str">
        <f aca="false">IMSUM(IMPRODUCT(M849,P848),IMPRODUCT(N849,R848))</f>
        <v>1+0.256317963117104i</v>
      </c>
    </row>
    <row r="850" customFormat="false" ht="15" hidden="false" customHeight="false" outlineLevel="0" collapsed="false">
      <c r="A850" s="7" t="s">
        <v>66</v>
      </c>
      <c r="B850" s="7" t="s">
        <v>42</v>
      </c>
      <c r="C850" s="10" t="n">
        <f aca="false">P844/6</f>
        <v>0.0190825958702065</v>
      </c>
      <c r="K850" s="7" t="str">
        <f aca="false">COMPLEX(1,0)</f>
        <v>1</v>
      </c>
      <c r="L850" s="7" t="str">
        <f aca="false">COMPLEX(-C850,0)</f>
        <v>-0.0190825958702065</v>
      </c>
      <c r="M850" s="7" t="str">
        <f aca="false">COMPLEX(0,0)</f>
        <v>0</v>
      </c>
      <c r="N850" s="7" t="str">
        <f aca="false">COMPLEX(1,0)</f>
        <v>1</v>
      </c>
      <c r="O850" s="7" t="str">
        <f aca="false">IMSUM(IMPRODUCT(K850,O849),IMPRODUCT(L850,Q849))</f>
        <v>1+0.0376247084956784i</v>
      </c>
      <c r="P850" s="7" t="str">
        <f aca="false">IMSUM(IMPRODUCT(K850,P849),IMPRODUCT(L850,R849))</f>
        <v>-0.149082595870207-0.00489121210443819i</v>
      </c>
      <c r="Q850" s="7" t="str">
        <f aca="false">IMSUM(IMPRODUCT(M850,O849),IMPRODUCT(N850,Q849))</f>
        <v>-1.97167663936234i</v>
      </c>
      <c r="R850" s="7" t="str">
        <f aca="false">IMSUM(IMPRODUCT(M850,P849),IMPRODUCT(N850,R849))</f>
        <v>1+0.256317963117104i</v>
      </c>
    </row>
    <row r="851" customFormat="false" ht="15" hidden="false" customHeight="false" outlineLevel="0" collapsed="false">
      <c r="A851" s="7" t="s">
        <v>67</v>
      </c>
      <c r="B851" s="7" t="s">
        <v>65</v>
      </c>
      <c r="C851" s="10" t="n">
        <f aca="false">INDEX(Classes!$B$5:$F$9,MATCH(Engine!$C$830,Classes!$A$5:$A$9,0),4)*(N844*1000)</f>
        <v>54225</v>
      </c>
      <c r="K851" s="7" t="str">
        <f aca="false">COMPLEX(1,0)</f>
        <v>1</v>
      </c>
      <c r="L851" s="7" t="str">
        <f aca="false">COMPLEX(0,0)</f>
        <v>0</v>
      </c>
      <c r="M851" s="7" t="str">
        <f aca="false">COMPLEX(0,-(2*PI()/($B$2*3600))*C851)</f>
        <v>-3.94335327872469i</v>
      </c>
      <c r="N851" s="7" t="str">
        <f aca="false">COMPLEX(1,0)</f>
        <v>1</v>
      </c>
      <c r="O851" s="7" t="str">
        <f aca="false">IMSUM(IMPRODUCT(K851,O850),IMPRODUCT(L851,Q850))</f>
        <v>1+0.0376247084956784i</v>
      </c>
      <c r="P851" s="7" t="str">
        <f aca="false">IMSUM(IMPRODUCT(K851,P850),IMPRODUCT(L851,R850))</f>
        <v>-0.149082595870207-0.00489121210443819i</v>
      </c>
      <c r="Q851" s="7" t="str">
        <f aca="false">IMSUM(IMPRODUCT(M851,O850),IMPRODUCT(N851,Q850))</f>
        <v>0.148367517607494-5.91502991808703i</v>
      </c>
      <c r="R851" s="7" t="str">
        <f aca="false">IMSUM(IMPRODUCT(M851,P850),IMPRODUCT(N851,R850))</f>
        <v>0.980712222711026+0.844203306342673i</v>
      </c>
    </row>
    <row r="852" customFormat="false" ht="15" hidden="false" customHeight="false" outlineLevel="0" collapsed="false">
      <c r="A852" s="7" t="s">
        <v>68</v>
      </c>
      <c r="B852" s="7" t="s">
        <v>42</v>
      </c>
      <c r="C852" s="10" t="n">
        <f aca="false">P844/3</f>
        <v>0.038165191740413</v>
      </c>
      <c r="K852" s="7" t="str">
        <f aca="false">COMPLEX(1,0)</f>
        <v>1</v>
      </c>
      <c r="L852" s="7" t="str">
        <f aca="false">COMPLEX(-C852,0)</f>
        <v>-0.038165191740413</v>
      </c>
      <c r="M852" s="7" t="str">
        <f aca="false">COMPLEX(0,0)</f>
        <v>0</v>
      </c>
      <c r="N852" s="7" t="str">
        <f aca="false">COMPLEX(1,0)</f>
        <v>1</v>
      </c>
      <c r="O852" s="7" t="str">
        <f aca="false">IMSUM(IMPRODUCT(K852,O851),IMPRODUCT(L852,Q851))</f>
        <v>0.994337525242461+0.263372959469749i</v>
      </c>
      <c r="P852" s="7" t="str">
        <f aca="false">IMSUM(IMPRODUCT(K852,P851),IMPRODUCT(L852,R851))</f>
        <v>-0.18651166589214-0.0371103931588969i</v>
      </c>
      <c r="Q852" s="7" t="str">
        <f aca="false">IMSUM(IMPRODUCT(M852,O851),IMPRODUCT(N852,Q851))</f>
        <v>0.148367517607494-5.91502991808703i</v>
      </c>
      <c r="R852" s="7" t="str">
        <f aca="false">IMSUM(IMPRODUCT(M852,P851),IMPRODUCT(N852,R851))</f>
        <v>0.980712222711026+0.844203306342673i</v>
      </c>
    </row>
    <row r="853" customFormat="false" ht="15" hidden="false" customHeight="false" outlineLevel="0" collapsed="false">
      <c r="A853" s="7" t="s">
        <v>69</v>
      </c>
      <c r="B853" s="7" t="s">
        <v>65</v>
      </c>
      <c r="C853" s="10" t="n">
        <f aca="false">INDEX(Classes!$B$5:$F$9,MATCH(Engine!$C$830,Classes!$A$5:$A$9,0),3)*(N844*1000)</f>
        <v>54225</v>
      </c>
      <c r="K853" s="7" t="str">
        <f aca="false">COMPLEX(1,0)</f>
        <v>1</v>
      </c>
      <c r="L853" s="7" t="str">
        <f aca="false">COMPLEX(0,0)</f>
        <v>0</v>
      </c>
      <c r="M853" s="7" t="str">
        <f aca="false">COMPLEX(0,-(2*PI()/($B$2*3600))*C853)</f>
        <v>-3.94335327872469i</v>
      </c>
      <c r="N853" s="7" t="str">
        <f aca="false">COMPLEX(1,0)</f>
        <v>1</v>
      </c>
      <c r="O853" s="7" t="str">
        <f aca="false">IMSUM(IMPRODUCT(K853,O852),IMPRODUCT(L853,Q852))</f>
        <v>0.994337525242461+0.263372959469749i</v>
      </c>
      <c r="P853" s="7" t="str">
        <f aca="false">IMSUM(IMPRODUCT(K853,P852),IMPRODUCT(L853,R852))</f>
        <v>-0.18651166589214-0.0371103931588969i</v>
      </c>
      <c r="Q853" s="7" t="str">
        <f aca="false">IMSUM(IMPRODUCT(M853,O852),IMPRODUCT(N853,Q852))</f>
        <v>1.18694014085995-9.83605405841088i</v>
      </c>
      <c r="R853" s="7" t="str">
        <f aca="false">IMSUM(IMPRODUCT(M853,P852),IMPRODUCT(N853,R852))</f>
        <v>0.834372832173128+1.57968469555885i</v>
      </c>
    </row>
    <row r="854" customFormat="false" ht="15" hidden="false" customHeight="false" outlineLevel="0" collapsed="false">
      <c r="A854" s="7" t="s">
        <v>68</v>
      </c>
      <c r="B854" s="7" t="s">
        <v>42</v>
      </c>
      <c r="C854" s="10" t="n">
        <f aca="false">P844/3</f>
        <v>0.038165191740413</v>
      </c>
      <c r="K854" s="7" t="str">
        <f aca="false">COMPLEX(1,0)</f>
        <v>1</v>
      </c>
      <c r="L854" s="7" t="str">
        <f aca="false">COMPLEX(-C854,0)</f>
        <v>-0.038165191740413</v>
      </c>
      <c r="M854" s="7" t="str">
        <f aca="false">COMPLEX(0,0)</f>
        <v>0</v>
      </c>
      <c r="N854" s="7" t="str">
        <f aca="false">COMPLEX(1,0)</f>
        <v>1</v>
      </c>
      <c r="O854" s="7" t="str">
        <f aca="false">IMSUM(IMPRODUCT(K854,O853),IMPRODUCT(L854,Q853))</f>
        <v>0.949037727182148+0.638767848578068i</v>
      </c>
      <c r="P854" s="7" t="str">
        <f aca="false">IMSUM(IMPRODUCT(K854,P853),IMPRODUCT(L854,R853))</f>
        <v>-0.218355665015019-0.0973993624542964i</v>
      </c>
      <c r="Q854" s="7" t="str">
        <f aca="false">IMSUM(IMPRODUCT(M854,O853),IMPRODUCT(N854,Q853))</f>
        <v>1.18694014085995-9.83605405841088i</v>
      </c>
      <c r="R854" s="7" t="str">
        <f aca="false">IMSUM(IMPRODUCT(M854,P853),IMPRODUCT(N854,R853))</f>
        <v>0.834372832173128+1.57968469555885i</v>
      </c>
    </row>
    <row r="855" customFormat="false" ht="15" hidden="false" customHeight="false" outlineLevel="0" collapsed="false">
      <c r="A855" s="7" t="s">
        <v>70</v>
      </c>
      <c r="B855" s="7" t="s">
        <v>65</v>
      </c>
      <c r="C855" s="10" t="n">
        <f aca="false">INDEX(Classes!$B$5:$F$9,MATCH(Engine!$C$830,Classes!$A$5:$A$9,0),2)*(N844*1000)</f>
        <v>54225</v>
      </c>
      <c r="K855" s="7" t="str">
        <f aca="false">COMPLEX(1,0)</f>
        <v>1</v>
      </c>
      <c r="L855" s="7" t="str">
        <f aca="false">COMPLEX(0,0)</f>
        <v>0</v>
      </c>
      <c r="M855" s="7" t="str">
        <f aca="false">COMPLEX(0,-(2*PI()/($B$2*3600))*C855)</f>
        <v>-3.94335327872469i</v>
      </c>
      <c r="N855" s="7" t="str">
        <f aca="false">COMPLEX(1,0)</f>
        <v>1</v>
      </c>
      <c r="O855" s="7" t="str">
        <f aca="false">IMSUM(IMPRODUCT(K855,O854),IMPRODUCT(L855,Q854))</f>
        <v>0.949037727182148+0.638767848578068i</v>
      </c>
      <c r="P855" s="7" t="str">
        <f aca="false">IMSUM(IMPRODUCT(K855,P854),IMPRODUCT(L855,R854))</f>
        <v>-0.218355665015019-0.0973993624542964i</v>
      </c>
      <c r="Q855" s="7" t="str">
        <f aca="false">IMSUM(IMPRODUCT(M855,O854),IMPRODUCT(N855,Q854))</f>
        <v>3.70582743089419-13.578445091528i</v>
      </c>
      <c r="R855" s="7" t="str">
        <f aca="false">IMSUM(IMPRODUCT(M855,P854),IMPRODUCT(N855,R854))</f>
        <v>0.450292736893284+2.44073822312394i</v>
      </c>
    </row>
    <row r="856" customFormat="false" ht="15" hidden="false" customHeight="false" outlineLevel="0" collapsed="false">
      <c r="A856" s="7" t="s">
        <v>66</v>
      </c>
      <c r="B856" s="7" t="s">
        <v>42</v>
      </c>
      <c r="C856" s="10" t="n">
        <f aca="false">P844/6</f>
        <v>0.0190825958702065</v>
      </c>
      <c r="K856" s="7" t="str">
        <f aca="false">COMPLEX(1,0)</f>
        <v>1</v>
      </c>
      <c r="L856" s="7" t="str">
        <f aca="false">COMPLEX(-C856,0)</f>
        <v>-0.0190825958702065</v>
      </c>
      <c r="M856" s="7" t="str">
        <f aca="false">COMPLEX(0,0)</f>
        <v>0</v>
      </c>
      <c r="N856" s="7" t="str">
        <f aca="false">COMPLEX(1,0)</f>
        <v>1</v>
      </c>
      <c r="O856" s="7" t="str">
        <f aca="false">IMSUM(IMPRODUCT(K856,O855),IMPRODUCT(L856,Q855))</f>
        <v>0.878320919953668+0.897879828805486i</v>
      </c>
      <c r="P856" s="7" t="str">
        <f aca="false">IMSUM(IMPRODUCT(K856,P855),IMPRODUCT(L856,R855))</f>
        <v>-0.226948419336443-0.143974983591137i</v>
      </c>
      <c r="Q856" s="7" t="str">
        <f aca="false">IMSUM(IMPRODUCT(M856,O855),IMPRODUCT(N856,Q855))</f>
        <v>3.70582743089419-13.578445091528i</v>
      </c>
      <c r="R856" s="7" t="str">
        <f aca="false">IMSUM(IMPRODUCT(M856,P855),IMPRODUCT(N856,R855))</f>
        <v>0.450292736893284+2.44073822312394i</v>
      </c>
    </row>
    <row r="857" customFormat="false" ht="15" hidden="false" customHeight="false" outlineLevel="0" collapsed="false">
      <c r="A857" s="7" t="s">
        <v>71</v>
      </c>
      <c r="B857" s="7" t="s">
        <v>65</v>
      </c>
      <c r="C857" s="10" t="n">
        <f aca="false">INDEX(Classes!$B$5:$F$9,MATCH(Engine!$C$830,Classes!$A$5:$A$9,0),1)*(N844*1000)</f>
        <v>27112.5</v>
      </c>
      <c r="K857" s="7" t="str">
        <f aca="false">COMPLEX(1,0)</f>
        <v>1</v>
      </c>
      <c r="L857" s="7" t="str">
        <f aca="false">COMPLEX(0,0)</f>
        <v>0</v>
      </c>
      <c r="M857" s="7" t="str">
        <f aca="false">COMPLEX(0,-(2*PI()/($B$2*3600))*C857)</f>
        <v>-1.97167663936234i</v>
      </c>
      <c r="N857" s="7" t="str">
        <f aca="false">COMPLEX(1,0)</f>
        <v>1</v>
      </c>
      <c r="O857" s="7" t="str">
        <f aca="false">IMSUM(IMPRODUCT(K857,O856),IMPRODUCT(L857,Q856))</f>
        <v>0.878320919953668+0.897879828805486i</v>
      </c>
      <c r="P857" s="7" t="str">
        <f aca="false">IMSUM(IMPRODUCT(K857,P856),IMPRODUCT(L857,R856))</f>
        <v>-0.226948419336443-0.143974983591137i</v>
      </c>
      <c r="Q857" s="7" t="str">
        <f aca="false">IMSUM(IMPRODUCT(M857,O856),IMPRODUCT(N857,Q856))</f>
        <v>5.47615611430462-15.3102099312639i</v>
      </c>
      <c r="R857" s="7" t="str">
        <f aca="false">IMSUM(IMPRODUCT(M857,P856),IMPRODUCT(N857,R856))</f>
        <v>0.166420625094063+2.88820711986981i</v>
      </c>
    </row>
    <row r="858" customFormat="false" ht="15" hidden="false" customHeight="false" outlineLevel="0" collapsed="false">
      <c r="A858" s="7" t="s">
        <v>72</v>
      </c>
      <c r="B858" s="7" t="s">
        <v>73</v>
      </c>
      <c r="K858" s="7" t="str">
        <f aca="false">K842</f>
        <v>1</v>
      </c>
      <c r="L858" s="7" t="str">
        <f aca="false">L842</f>
        <v>-1000000</v>
      </c>
      <c r="M858" s="7" t="str">
        <f aca="false">M842</f>
        <v>0</v>
      </c>
      <c r="N858" s="7" t="str">
        <f aca="false">N842</f>
        <v>1</v>
      </c>
      <c r="O858" s="7" t="str">
        <f aca="false">IMSUM(IMPRODUCT(K858,O857),IMPRODUCT(L858,Q857))</f>
        <v>-5476155.2359837+15310210.8291437i</v>
      </c>
      <c r="P858" s="7" t="str">
        <f aca="false">IMSUM(IMPRODUCT(K858,P857),IMPRODUCT(L858,R857))</f>
        <v>-166420.852042482-2888207.26384479i</v>
      </c>
      <c r="Q858" s="7" t="str">
        <f aca="false">IMSUM(IMPRODUCT(M858,O857),IMPRODUCT(N858,Q857))</f>
        <v>5.47615611430462-15.3102099312639i</v>
      </c>
      <c r="R858" s="7" t="str">
        <f aca="false">IMSUM(IMPRODUCT(M858,P857),IMPRODUCT(N858,R857))</f>
        <v>0.166420625094063+2.88820711986981i</v>
      </c>
    </row>
    <row r="859" customFormat="false" ht="15" hidden="false" customHeight="false" outlineLevel="0" collapsed="false">
      <c r="A859" s="7" t="s">
        <v>52</v>
      </c>
      <c r="B859" s="7" t="s">
        <v>73</v>
      </c>
      <c r="K859" s="7" t="str">
        <f aca="false">K843</f>
        <v>1</v>
      </c>
      <c r="L859" s="7" t="str">
        <f aca="false">L843</f>
        <v>-0</v>
      </c>
      <c r="M859" s="7" t="str">
        <f aca="false">M843</f>
        <v>0</v>
      </c>
      <c r="N859" s="7" t="str">
        <f aca="false">N843</f>
        <v>1</v>
      </c>
      <c r="O859" s="7" t="str">
        <f aca="false">IMSUM(IMPRODUCT(K859,O858),IMPRODUCT(L859,Q858))</f>
        <v>-5476155.2359837+15310210.8291437i</v>
      </c>
      <c r="P859" s="7" t="str">
        <f aca="false">IMSUM(IMPRODUCT(K859,P858),IMPRODUCT(L859,R858))</f>
        <v>-166420.852042482-2888207.26384479i</v>
      </c>
      <c r="Q859" s="7" t="str">
        <f aca="false">IMSUM(IMPRODUCT(M859,O858),IMPRODUCT(N859,Q858))</f>
        <v>5.47615611430462-15.3102099312639i</v>
      </c>
      <c r="R859" s="7" t="str">
        <f aca="false">IMSUM(IMPRODUCT(M859,P858),IMPRODUCT(N859,R858))</f>
        <v>0.166420625094063+2.88820711986981i</v>
      </c>
    </row>
    <row r="860" customFormat="false" ht="15" hidden="false" customHeight="false" outlineLevel="0" collapsed="false">
      <c r="A860" s="9" t="s">
        <v>74</v>
      </c>
      <c r="B860" s="13" t="n">
        <f aca="false">IMABS(IMDIV(IMPRODUCT(O859,COMPLEX(-1,0)),P859))</f>
        <v>5.6205015344825</v>
      </c>
    </row>
    <row r="863" customFormat="false" ht="15" hidden="false" customHeight="false" outlineLevel="0" collapsed="false">
      <c r="A863" s="4" t="s">
        <v>150</v>
      </c>
      <c r="B863" s="9" t="s">
        <v>18</v>
      </c>
      <c r="C863" s="7" t="str">
        <f aca="false">INDEX(Library!$F$5:$F$34,MATCH(A863,Library!$A$5:$A$34,0))</f>
        <v>I</v>
      </c>
    </row>
    <row r="864" customFormat="false" ht="15" hidden="false" customHeight="false" outlineLevel="0" collapsed="false">
      <c r="A864" s="4" t="s">
        <v>151</v>
      </c>
      <c r="T864" s="9" t="s">
        <v>20</v>
      </c>
      <c r="U864" s="7" t="n">
        <f aca="false">MATCH($A$863,Library!$A$5:$A$34,0)</f>
        <v>27</v>
      </c>
      <c r="V864" s="9" t="s">
        <v>21</v>
      </c>
      <c r="W864" s="7" t="str">
        <f aca="false">INDEX(Library!$D$5:$D$34,$U$864)</f>
        <v>adiabatic</v>
      </c>
      <c r="X864" s="9" t="s">
        <v>22</v>
      </c>
      <c r="Y864" s="7" t="n">
        <f aca="false">INDEX(Library!$E$5:$E$34,$U$864)</f>
        <v>0.13</v>
      </c>
    </row>
    <row r="865" customFormat="false" ht="15" hidden="false" customHeight="false" outlineLevel="0" collapsed="false">
      <c r="A865" s="9"/>
      <c r="B865" s="9" t="s">
        <v>23</v>
      </c>
      <c r="C865" s="9" t="s">
        <v>24</v>
      </c>
      <c r="D865" s="9" t="s">
        <v>25</v>
      </c>
      <c r="E865" s="9" t="s">
        <v>26</v>
      </c>
      <c r="F865" s="9" t="s">
        <v>27</v>
      </c>
      <c r="G865" s="9" t="s">
        <v>28</v>
      </c>
      <c r="H865" s="9" t="s">
        <v>29</v>
      </c>
      <c r="I865" s="9" t="s">
        <v>30</v>
      </c>
      <c r="J865" s="9" t="s">
        <v>31</v>
      </c>
      <c r="K865" s="9" t="s">
        <v>32</v>
      </c>
      <c r="L865" s="9" t="s">
        <v>33</v>
      </c>
      <c r="M865" s="9" t="s">
        <v>34</v>
      </c>
      <c r="N865" s="9" t="s">
        <v>35</v>
      </c>
      <c r="O865" s="9" t="s">
        <v>36</v>
      </c>
      <c r="P865" s="9" t="s">
        <v>37</v>
      </c>
      <c r="Q865" s="9" t="s">
        <v>38</v>
      </c>
      <c r="R865" s="9" t="s">
        <v>39</v>
      </c>
      <c r="S865" s="9" t="s">
        <v>40</v>
      </c>
      <c r="T865" s="9" t="s">
        <v>41</v>
      </c>
    </row>
    <row r="866" customFormat="false" ht="15" hidden="false" customHeight="false" outlineLevel="0" collapsed="false">
      <c r="A866" s="7" t="s">
        <v>22</v>
      </c>
      <c r="B866" s="7" t="s">
        <v>42</v>
      </c>
      <c r="H866" s="10" t="n">
        <f aca="false">$Y$864</f>
        <v>0.13</v>
      </c>
      <c r="I866" s="11" t="n">
        <f aca="false">IF(B866="mass",SQRT(E866*($B$2*3600)/(PI()*F866*G866)),0)</f>
        <v>0</v>
      </c>
      <c r="J866" s="10" t="n">
        <f aca="false">IF(B866="mass",D866/I866,0)</f>
        <v>0</v>
      </c>
      <c r="K866" s="7" t="str">
        <f aca="false">IF(B866="mass",COMPLEX(COSH(J866)*COS(J866),SINH(J866)*SIN(J866)),COMPLEX(1,0))</f>
        <v>1</v>
      </c>
      <c r="L866" s="7" t="str">
        <f aca="false">IF(B866="mass",COMPLEX(-I866/(2*E866)*(SINH(J866)*COS(J866)+COSH(J866)*SIN(J866)),-I866/(2*E866)*(COSH(J866)*SIN(J866)-SINH(J866)*COS(J866))),COMPLEX(-H866,0))</f>
        <v>-0.13</v>
      </c>
      <c r="M866" s="7" t="str">
        <f aca="false">IF(B866="mass",COMPLEX(-E866/I866*(SINH(J866)*COS(J866)-COSH(J866)*SIN(J866)),-E866/I866*(SINH(J866)*COS(J866)+COSH(J866)*SIN(J866))),COMPLEX(0,0))</f>
        <v>0</v>
      </c>
      <c r="N866" s="7" t="str">
        <f aca="false">K866</f>
        <v>1</v>
      </c>
      <c r="O866" s="7" t="str">
        <f aca="false">K866</f>
        <v>1</v>
      </c>
      <c r="P866" s="7" t="str">
        <f aca="false">L866</f>
        <v>-0.13</v>
      </c>
      <c r="Q866" s="7" t="str">
        <f aca="false">M866</f>
        <v>0</v>
      </c>
      <c r="R866" s="7" t="str">
        <f aca="false">N866</f>
        <v>1</v>
      </c>
      <c r="S866" s="10" t="n">
        <f aca="false">IF(B866="mass",D866/E866,H866)</f>
        <v>0.13</v>
      </c>
      <c r="T866" s="12" t="n">
        <f aca="false">IF(B866="mass",F866*G866*D866,0)</f>
        <v>0</v>
      </c>
    </row>
    <row r="867" customFormat="false" ht="15" hidden="false" customHeight="false" outlineLevel="0" collapsed="false">
      <c r="A867" s="7" t="s">
        <v>43</v>
      </c>
      <c r="B867" s="7" t="str">
        <f aca="false">IF(C867="","none",IF(C867="Cavity","res","mass"))</f>
        <v>mass</v>
      </c>
      <c r="C867" s="7" t="str">
        <f aca="false">IF(INDEX(Library!$G$5:$G$34,$U$864)="","",INDEX(Library!$G$5:$G$34,$U$864))</f>
        <v>plasterboard</v>
      </c>
      <c r="D867" s="11" t="n">
        <f aca="false">IF(B867="mass",INDEX(Library!$H$5:$H$34,$U$864)/1000,0)</f>
        <v>0.025</v>
      </c>
      <c r="E867" s="7" t="n">
        <f aca="false">IF(B867="mass",INDEX(Materials!$B$5:$B$28,MATCH(C867,Materials!$A$5:$A$28,0)),0)</f>
        <v>0.21</v>
      </c>
      <c r="F867" s="7" t="n">
        <f aca="false">IF(B867="mass",INDEX(Materials!$C$5:$C$28,MATCH(C867,Materials!$A$5:$A$28,0)),0)</f>
        <v>700</v>
      </c>
      <c r="G867" s="7" t="n">
        <f aca="false">IF(B867="mass",INDEX(Materials!$D$5:$D$28,MATCH(C867,Materials!$A$5:$A$28,0)),0)</f>
        <v>1000</v>
      </c>
      <c r="H867" s="10" t="n">
        <f aca="false">IF(B867="res",INDEX(Library!$H$5:$H$34,$U$864),0)</f>
        <v>0</v>
      </c>
      <c r="I867" s="11" t="n">
        <f aca="false">IF(B867="mass",SQRT(E867*($B$2*3600)/(PI()*F867*G867)),0)</f>
        <v>0.0908327707927258</v>
      </c>
      <c r="J867" s="10" t="n">
        <f aca="false">IF(B867="mass",D867/I867,0)</f>
        <v>0.275231062333751</v>
      </c>
      <c r="K867" s="7" t="str">
        <f aca="false">IF(B867="mass",COMPLEX(COSH(J867)*COS(J867),SINH(J867)*SIN(J867)),COMPLEX(1,0))</f>
        <v>0.999043615340055+0.0757473077505427i</v>
      </c>
      <c r="L867" s="7" t="str">
        <f aca="false">IF(B867="mass",COMPLEX(-I867/(2*E867)*(SINH(J867)*COS(J867)+COSH(J867)*SIN(J867)),-I867/(2*E867)*(COSH(J867)*SIN(J867)-SINH(J867)*COS(J867))),COMPLEX(-H867,0))</f>
        <v>-0.119024847846011-0.00300595506757989i</v>
      </c>
      <c r="M867" s="7" t="str">
        <f aca="false">IF(B867="mass",COMPLEX(-E867/I867*(SINH(J867)*COS(J867)-COSH(J867)*SIN(J867)),-E867/I867*(SINH(J867)*COS(J867)+COSH(J867)*SIN(J867))),COMPLEX(0,0))</f>
        <v>0.0321340855214701-1.27239248554138i</v>
      </c>
      <c r="N867" s="7" t="str">
        <f aca="false">K867</f>
        <v>0.999043615340055+0.0757473077505427i</v>
      </c>
      <c r="O867" s="7" t="str">
        <f aca="false">IMSUM(IMPRODUCT(K867,O866),IMPRODUCT(L867,Q866))</f>
        <v>0.999043615340055+0.0757473077505427i</v>
      </c>
      <c r="P867" s="7" t="str">
        <f aca="false">IMSUM(IMPRODUCT(K867,P866),IMPRODUCT(L867,R866))</f>
        <v>-0.248900517840218-0.0128531050751504i</v>
      </c>
      <c r="Q867" s="7" t="str">
        <f aca="false">IMSUM(IMPRODUCT(M867,O866),IMPRODUCT(N867,Q866))</f>
        <v>0.0321340855214701-1.27239248554138i</v>
      </c>
      <c r="R867" s="7" t="str">
        <f aca="false">IMSUM(IMPRODUCT(M867,P866),IMPRODUCT(N867,R866))</f>
        <v>0.994866184222264+0.241158330870922i</v>
      </c>
      <c r="S867" s="10" t="n">
        <f aca="false">IF(B867="mass",D867/E867,H867)</f>
        <v>0.119047619047619</v>
      </c>
      <c r="T867" s="12" t="n">
        <f aca="false">IF(B867="mass",F867*G867*D867,0)</f>
        <v>17500</v>
      </c>
    </row>
    <row r="868" customFormat="false" ht="15" hidden="false" customHeight="false" outlineLevel="0" collapsed="false">
      <c r="A868" s="7" t="s">
        <v>44</v>
      </c>
      <c r="B868" s="7" t="str">
        <f aca="false">IF(C868="","none",IF(C868="Cavity","res","mass"))</f>
        <v>mass</v>
      </c>
      <c r="C868" s="7" t="str">
        <f aca="false">IF(INDEX(Library!$I$5:$I$34,$U$864)="","",INDEX(Library!$I$5:$I$34,$U$864))</f>
        <v>mineral wool + studs</v>
      </c>
      <c r="D868" s="11" t="n">
        <f aca="false">IF(B868="mass",INDEX(Library!$J$5:$J$34,$U$864)/1000,0)</f>
        <v>0.09</v>
      </c>
      <c r="E868" s="7" t="n">
        <f aca="false">IF(B868="mass",INDEX(Materials!$B$5:$B$28,MATCH(C868,Materials!$A$5:$A$28,0)),0)</f>
        <v>0.04</v>
      </c>
      <c r="F868" s="7" t="n">
        <f aca="false">IF(B868="mass",INDEX(Materials!$C$5:$C$28,MATCH(C868,Materials!$A$5:$A$28,0)),0)</f>
        <v>60</v>
      </c>
      <c r="G868" s="7" t="n">
        <f aca="false">IF(B868="mass",INDEX(Materials!$D$5:$D$28,MATCH(C868,Materials!$A$5:$A$28,0)),0)</f>
        <v>1200</v>
      </c>
      <c r="H868" s="10" t="n">
        <f aca="false">IF(B868="res",INDEX(Library!$J$5:$J$34,$U$864),0)</f>
        <v>0</v>
      </c>
      <c r="I868" s="11" t="n">
        <f aca="false">IF(B868="mass",SQRT(E868*($B$2*3600)/(PI()*F868*G868)),0)</f>
        <v>0.123607744647421</v>
      </c>
      <c r="J868" s="10" t="n">
        <f aca="false">IF(B868="mass",D868/I868,0)</f>
        <v>0.728109717208387</v>
      </c>
      <c r="K868" s="7" t="str">
        <f aca="false">IF(B868="mass",COMPLEX(COSH(J868)*COS(J868),SINH(J868)*SIN(J868)),COMPLEX(1,0))</f>
        <v>0.95318927468961+0.528488594225927i</v>
      </c>
      <c r="L868" s="7" t="str">
        <f aca="false">IF(B868="mass",COMPLEX(-I868/(2*E868)*(SINH(J868)*COS(J868)+COSH(J868)*SIN(J868)),-I868/(2*E868)*(COSH(J868)*SIN(J868)-SINH(J868)*COS(J868))),COMPLEX(-H868,0))</f>
        <v>-2.22892890534797-0.397075759395874i</v>
      </c>
      <c r="M868" s="7" t="str">
        <f aca="false">IF(B868="mass",COMPLEX(-E868/I868*(SINH(J868)*COS(J868)-COSH(J868)*SIN(J868)),-E868/I868*(SINH(J868)*COS(J868)+COSH(J868)*SIN(J868))),COMPLEX(0,0))</f>
        <v>0.0831633525757777-0.466825778294341i</v>
      </c>
      <c r="N868" s="7" t="str">
        <f aca="false">K868</f>
        <v>0.95318927468961+0.528488594225927i</v>
      </c>
      <c r="O868" s="7" t="str">
        <f aca="false">IMSUM(IMPRODUCT(K868,O867),IMPRODUCT(L868,Q867))</f>
        <v>0.335385266388114+3.42349740073568i</v>
      </c>
      <c r="P868" s="7" t="str">
        <f aca="false">IMSUM(IMPRODUCT(K868,P867),IMPRODUCT(L868,R867))</f>
        <v>-2.35218445223841-1.07635454672057i</v>
      </c>
      <c r="Q868" s="7" t="str">
        <f aca="false">IMSUM(IMPRODUCT(M868,O867),IMPRODUCT(N868,Q867))</f>
        <v>0.821519393973874-1.65592828594971i</v>
      </c>
      <c r="R868" s="7" t="str">
        <f aca="false">IMSUM(IMPRODUCT(M868,P867),IMPRODUCT(N868,R867))</f>
        <v>0.794146786982549+0.870769236280313i</v>
      </c>
      <c r="S868" s="10" t="n">
        <f aca="false">IF(B868="mass",D868/E868,H868)</f>
        <v>2.25</v>
      </c>
      <c r="T868" s="12" t="n">
        <f aca="false">IF(B868="mass",F868*G868*D868,0)</f>
        <v>6480</v>
      </c>
    </row>
    <row r="869" customFormat="false" ht="15" hidden="false" customHeight="false" outlineLevel="0" collapsed="false">
      <c r="A869" s="7" t="s">
        <v>45</v>
      </c>
      <c r="B869" s="7" t="str">
        <f aca="false">IF(C869="","none",IF(C869="Cavity","res","mass"))</f>
        <v>none</v>
      </c>
      <c r="C869" s="7" t="str">
        <f aca="false">IF(INDEX(Library!$K$5:$K$34,$U$864)="","",INDEX(Library!$K$5:$K$34,$U$864))</f>
        <v/>
      </c>
      <c r="D869" s="11" t="n">
        <f aca="false">IF(B869="mass",INDEX(Library!$L$5:$L$34,$U$864)/1000,0)</f>
        <v>0</v>
      </c>
      <c r="E869" s="7" t="n">
        <f aca="false">IF(B869="mass",INDEX(Materials!$B$5:$B$28,MATCH(C869,Materials!$A$5:$A$28,0)),0)</f>
        <v>0</v>
      </c>
      <c r="F869" s="7" t="n">
        <f aca="false">IF(B869="mass",INDEX(Materials!$C$5:$C$28,MATCH(C869,Materials!$A$5:$A$28,0)),0)</f>
        <v>0</v>
      </c>
      <c r="G869" s="7" t="n">
        <f aca="false">IF(B869="mass",INDEX(Materials!$D$5:$D$28,MATCH(C869,Materials!$A$5:$A$28,0)),0)</f>
        <v>0</v>
      </c>
      <c r="H869" s="10" t="n">
        <f aca="false">IF(B869="res",INDEX(Library!$L$5:$L$34,$U$864),0)</f>
        <v>0</v>
      </c>
      <c r="I869" s="11" t="n">
        <f aca="false">IF(B869="mass",SQRT(E869*($B$2*3600)/(PI()*F869*G869)),0)</f>
        <v>0</v>
      </c>
      <c r="J869" s="10" t="n">
        <f aca="false">IF(B869="mass",D869/I869,0)</f>
        <v>0</v>
      </c>
      <c r="K869" s="7" t="str">
        <f aca="false">IF(B869="mass",COMPLEX(COSH(J869)*COS(J869),SINH(J869)*SIN(J869)),COMPLEX(1,0))</f>
        <v>1</v>
      </c>
      <c r="L869" s="7" t="str">
        <f aca="false">IF(B869="mass",COMPLEX(-I869/(2*E869)*(SINH(J869)*COS(J869)+COSH(J869)*SIN(J869)),-I869/(2*E869)*(COSH(J869)*SIN(J869)-SINH(J869)*COS(J869))),COMPLEX(-H869,0))</f>
        <v>-0</v>
      </c>
      <c r="M869" s="7" t="str">
        <f aca="false">IF(B869="mass",COMPLEX(-E869/I869*(SINH(J869)*COS(J869)-COSH(J869)*SIN(J869)),-E869/I869*(SINH(J869)*COS(J869)+COSH(J869)*SIN(J869))),COMPLEX(0,0))</f>
        <v>0</v>
      </c>
      <c r="N869" s="7" t="str">
        <f aca="false">K869</f>
        <v>1</v>
      </c>
      <c r="O869" s="7" t="str">
        <f aca="false">IMSUM(IMPRODUCT(K869,O868),IMPRODUCT(L869,Q868))</f>
        <v>0.335385266388114+3.42349740073568i</v>
      </c>
      <c r="P869" s="7" t="str">
        <f aca="false">IMSUM(IMPRODUCT(K869,P868),IMPRODUCT(L869,R868))</f>
        <v>-2.35218445223841-1.07635454672057i</v>
      </c>
      <c r="Q869" s="7" t="str">
        <f aca="false">IMSUM(IMPRODUCT(M869,O868),IMPRODUCT(N869,Q868))</f>
        <v>0.821519393973874-1.65592828594971i</v>
      </c>
      <c r="R869" s="7" t="str">
        <f aca="false">IMSUM(IMPRODUCT(M869,P868),IMPRODUCT(N869,R868))</f>
        <v>0.794146786982549+0.870769236280313i</v>
      </c>
      <c r="S869" s="10" t="n">
        <f aca="false">IF(B869="mass",D869/E869,H869)</f>
        <v>0</v>
      </c>
      <c r="T869" s="12" t="n">
        <f aca="false">IF(B869="mass",F869*G869*D869,0)</f>
        <v>0</v>
      </c>
    </row>
    <row r="870" customFormat="false" ht="15" hidden="false" customHeight="false" outlineLevel="0" collapsed="false">
      <c r="A870" s="7" t="s">
        <v>46</v>
      </c>
      <c r="B870" s="7" t="str">
        <f aca="false">IF(C870="","none",IF(C870="Cavity","res","mass"))</f>
        <v>none</v>
      </c>
      <c r="C870" s="7" t="str">
        <f aca="false">IF(INDEX(Library!$M$5:$M$34,$U$864)="","",INDEX(Library!$M$5:$M$34,$U$864))</f>
        <v/>
      </c>
      <c r="D870" s="11" t="n">
        <f aca="false">IF(B870="mass",INDEX(Library!$N$5:$N$34,$U$864)/1000,0)</f>
        <v>0</v>
      </c>
      <c r="E870" s="7" t="n">
        <f aca="false">IF(B870="mass",INDEX(Materials!$B$5:$B$28,MATCH(C870,Materials!$A$5:$A$28,0)),0)</f>
        <v>0</v>
      </c>
      <c r="F870" s="7" t="n">
        <f aca="false">IF(B870="mass",INDEX(Materials!$C$5:$C$28,MATCH(C870,Materials!$A$5:$A$28,0)),0)</f>
        <v>0</v>
      </c>
      <c r="G870" s="7" t="n">
        <f aca="false">IF(B870="mass",INDEX(Materials!$D$5:$D$28,MATCH(C870,Materials!$A$5:$A$28,0)),0)</f>
        <v>0</v>
      </c>
      <c r="H870" s="10" t="n">
        <f aca="false">IF(B870="res",INDEX(Library!$N$5:$N$34,$U$864),0)</f>
        <v>0</v>
      </c>
      <c r="I870" s="11" t="n">
        <f aca="false">IF(B870="mass",SQRT(E870*($B$2*3600)/(PI()*F870*G870)),0)</f>
        <v>0</v>
      </c>
      <c r="J870" s="10" t="n">
        <f aca="false">IF(B870="mass",D870/I870,0)</f>
        <v>0</v>
      </c>
      <c r="K870" s="7" t="str">
        <f aca="false">IF(B870="mass",COMPLEX(COSH(J870)*COS(J870),SINH(J870)*SIN(J870)),COMPLEX(1,0))</f>
        <v>1</v>
      </c>
      <c r="L870" s="7" t="str">
        <f aca="false">IF(B870="mass",COMPLEX(-I870/(2*E870)*(SINH(J870)*COS(J870)+COSH(J870)*SIN(J870)),-I870/(2*E870)*(COSH(J870)*SIN(J870)-SINH(J870)*COS(J870))),COMPLEX(-H870,0))</f>
        <v>-0</v>
      </c>
      <c r="M870" s="7" t="str">
        <f aca="false">IF(B870="mass",COMPLEX(-E870/I870*(SINH(J870)*COS(J870)-COSH(J870)*SIN(J870)),-E870/I870*(SINH(J870)*COS(J870)+COSH(J870)*SIN(J870))),COMPLEX(0,0))</f>
        <v>0</v>
      </c>
      <c r="N870" s="7" t="str">
        <f aca="false">K870</f>
        <v>1</v>
      </c>
      <c r="O870" s="7" t="str">
        <f aca="false">IMSUM(IMPRODUCT(K870,O869),IMPRODUCT(L870,Q869))</f>
        <v>0.335385266388114+3.42349740073568i</v>
      </c>
      <c r="P870" s="7" t="str">
        <f aca="false">IMSUM(IMPRODUCT(K870,P869),IMPRODUCT(L870,R869))</f>
        <v>-2.35218445223841-1.07635454672057i</v>
      </c>
      <c r="Q870" s="7" t="str">
        <f aca="false">IMSUM(IMPRODUCT(M870,O869),IMPRODUCT(N870,Q869))</f>
        <v>0.821519393973874-1.65592828594971i</v>
      </c>
      <c r="R870" s="7" t="str">
        <f aca="false">IMSUM(IMPRODUCT(M870,P869),IMPRODUCT(N870,R869))</f>
        <v>0.794146786982549+0.870769236280313i</v>
      </c>
      <c r="S870" s="10" t="n">
        <f aca="false">IF(B870="mass",D870/E870,H870)</f>
        <v>0</v>
      </c>
      <c r="T870" s="12" t="n">
        <f aca="false">IF(B870="mass",F870*G870*D870,0)</f>
        <v>0</v>
      </c>
    </row>
    <row r="871" customFormat="false" ht="15" hidden="false" customHeight="false" outlineLevel="0" collapsed="false">
      <c r="A871" s="7" t="s">
        <v>47</v>
      </c>
      <c r="B871" s="7" t="str">
        <f aca="false">IF(C871="","none",IF(C871="Cavity","res","mass"))</f>
        <v>none</v>
      </c>
      <c r="C871" s="7" t="str">
        <f aca="false">IF(INDEX(Library!$O$5:$O$34,$U$864)="","",INDEX(Library!$O$5:$O$34,$U$864))</f>
        <v/>
      </c>
      <c r="D871" s="11" t="n">
        <f aca="false">IF(B871="mass",INDEX(Library!$P$5:$P$34,$U$864)/1000,0)</f>
        <v>0</v>
      </c>
      <c r="E871" s="7" t="n">
        <f aca="false">IF(B871="mass",INDEX(Materials!$B$5:$B$28,MATCH(C871,Materials!$A$5:$A$28,0)),0)</f>
        <v>0</v>
      </c>
      <c r="F871" s="7" t="n">
        <f aca="false">IF(B871="mass",INDEX(Materials!$C$5:$C$28,MATCH(C871,Materials!$A$5:$A$28,0)),0)</f>
        <v>0</v>
      </c>
      <c r="G871" s="7" t="n">
        <f aca="false">IF(B871="mass",INDEX(Materials!$D$5:$D$28,MATCH(C871,Materials!$A$5:$A$28,0)),0)</f>
        <v>0</v>
      </c>
      <c r="H871" s="10" t="n">
        <f aca="false">IF(B871="res",INDEX(Library!$P$5:$P$34,$U$864),0)</f>
        <v>0</v>
      </c>
      <c r="I871" s="11" t="n">
        <f aca="false">IF(B871="mass",SQRT(E871*($B$2*3600)/(PI()*F871*G871)),0)</f>
        <v>0</v>
      </c>
      <c r="J871" s="10" t="n">
        <f aca="false">IF(B871="mass",D871/I871,0)</f>
        <v>0</v>
      </c>
      <c r="K871" s="7" t="str">
        <f aca="false">IF(B871="mass",COMPLEX(COSH(J871)*COS(J871),SINH(J871)*SIN(J871)),COMPLEX(1,0))</f>
        <v>1</v>
      </c>
      <c r="L871" s="7" t="str">
        <f aca="false">IF(B871="mass",COMPLEX(-I871/(2*E871)*(SINH(J871)*COS(J871)+COSH(J871)*SIN(J871)),-I871/(2*E871)*(COSH(J871)*SIN(J871)-SINH(J871)*COS(J871))),COMPLEX(-H871,0))</f>
        <v>-0</v>
      </c>
      <c r="M871" s="7" t="str">
        <f aca="false">IF(B871="mass",COMPLEX(-E871/I871*(SINH(J871)*COS(J871)-COSH(J871)*SIN(J871)),-E871/I871*(SINH(J871)*COS(J871)+COSH(J871)*SIN(J871))),COMPLEX(0,0))</f>
        <v>0</v>
      </c>
      <c r="N871" s="7" t="str">
        <f aca="false">K871</f>
        <v>1</v>
      </c>
      <c r="O871" s="7" t="str">
        <f aca="false">IMSUM(IMPRODUCT(K871,O870),IMPRODUCT(L871,Q870))</f>
        <v>0.335385266388114+3.42349740073568i</v>
      </c>
      <c r="P871" s="7" t="str">
        <f aca="false">IMSUM(IMPRODUCT(K871,P870),IMPRODUCT(L871,R870))</f>
        <v>-2.35218445223841-1.07635454672057i</v>
      </c>
      <c r="Q871" s="7" t="str">
        <f aca="false">IMSUM(IMPRODUCT(M871,O870),IMPRODUCT(N871,Q870))</f>
        <v>0.821519393973874-1.65592828594971i</v>
      </c>
      <c r="R871" s="7" t="str">
        <f aca="false">IMSUM(IMPRODUCT(M871,P870),IMPRODUCT(N871,R870))</f>
        <v>0.794146786982549+0.870769236280313i</v>
      </c>
      <c r="S871" s="10" t="n">
        <f aca="false">IF(B871="mass",D871/E871,H871)</f>
        <v>0</v>
      </c>
      <c r="T871" s="12" t="n">
        <f aca="false">IF(B871="mass",F871*G871*D871,0)</f>
        <v>0</v>
      </c>
    </row>
    <row r="872" customFormat="false" ht="15" hidden="false" customHeight="false" outlineLevel="0" collapsed="false">
      <c r="A872" s="7" t="s">
        <v>48</v>
      </c>
      <c r="B872" s="7" t="str">
        <f aca="false">IF(C872="","none",IF(C872="Cavity","res","mass"))</f>
        <v>none</v>
      </c>
      <c r="C872" s="7" t="str">
        <f aca="false">IF(INDEX(Library!$Q$5:$Q$34,$U$864)="","",INDEX(Library!$Q$5:$Q$34,$U$864))</f>
        <v/>
      </c>
      <c r="D872" s="11" t="n">
        <f aca="false">IF(B872="mass",INDEX(Library!$R$5:$R$34,$U$864)/1000,0)</f>
        <v>0</v>
      </c>
      <c r="E872" s="7" t="n">
        <f aca="false">IF(B872="mass",INDEX(Materials!$B$5:$B$28,MATCH(C872,Materials!$A$5:$A$28,0)),0)</f>
        <v>0</v>
      </c>
      <c r="F872" s="7" t="n">
        <f aca="false">IF(B872="mass",INDEX(Materials!$C$5:$C$28,MATCH(C872,Materials!$A$5:$A$28,0)),0)</f>
        <v>0</v>
      </c>
      <c r="G872" s="7" t="n">
        <f aca="false">IF(B872="mass",INDEX(Materials!$D$5:$D$28,MATCH(C872,Materials!$A$5:$A$28,0)),0)</f>
        <v>0</v>
      </c>
      <c r="H872" s="10" t="n">
        <f aca="false">IF(B872="res",INDEX(Library!$R$5:$R$34,$U$864),0)</f>
        <v>0</v>
      </c>
      <c r="I872" s="11" t="n">
        <f aca="false">IF(B872="mass",SQRT(E872*($B$2*3600)/(PI()*F872*G872)),0)</f>
        <v>0</v>
      </c>
      <c r="J872" s="10" t="n">
        <f aca="false">IF(B872="mass",D872/I872,0)</f>
        <v>0</v>
      </c>
      <c r="K872" s="7" t="str">
        <f aca="false">IF(B872="mass",COMPLEX(COSH(J872)*COS(J872),SINH(J872)*SIN(J872)),COMPLEX(1,0))</f>
        <v>1</v>
      </c>
      <c r="L872" s="7" t="str">
        <f aca="false">IF(B872="mass",COMPLEX(-I872/(2*E872)*(SINH(J872)*COS(J872)+COSH(J872)*SIN(J872)),-I872/(2*E872)*(COSH(J872)*SIN(J872)-SINH(J872)*COS(J872))),COMPLEX(-H872,0))</f>
        <v>-0</v>
      </c>
      <c r="M872" s="7" t="str">
        <f aca="false">IF(B872="mass",COMPLEX(-E872/I872*(SINH(J872)*COS(J872)-COSH(J872)*SIN(J872)),-E872/I872*(SINH(J872)*COS(J872)+COSH(J872)*SIN(J872))),COMPLEX(0,0))</f>
        <v>0</v>
      </c>
      <c r="N872" s="7" t="str">
        <f aca="false">K872</f>
        <v>1</v>
      </c>
      <c r="O872" s="7" t="str">
        <f aca="false">IMSUM(IMPRODUCT(K872,O871),IMPRODUCT(L872,Q871))</f>
        <v>0.335385266388114+3.42349740073568i</v>
      </c>
      <c r="P872" s="7" t="str">
        <f aca="false">IMSUM(IMPRODUCT(K872,P871),IMPRODUCT(L872,R871))</f>
        <v>-2.35218445223841-1.07635454672057i</v>
      </c>
      <c r="Q872" s="7" t="str">
        <f aca="false">IMSUM(IMPRODUCT(M872,O871),IMPRODUCT(N872,Q871))</f>
        <v>0.821519393973874-1.65592828594971i</v>
      </c>
      <c r="R872" s="7" t="str">
        <f aca="false">IMSUM(IMPRODUCT(M872,P871),IMPRODUCT(N872,R871))</f>
        <v>0.794146786982549+0.870769236280313i</v>
      </c>
      <c r="S872" s="10" t="n">
        <f aca="false">IF(B872="mass",D872/E872,H872)</f>
        <v>0</v>
      </c>
      <c r="T872" s="12" t="n">
        <f aca="false">IF(B872="mass",F872*G872*D872,0)</f>
        <v>0</v>
      </c>
    </row>
    <row r="873" customFormat="false" ht="15" hidden="false" customHeight="false" outlineLevel="0" collapsed="false">
      <c r="A873" s="7" t="s">
        <v>49</v>
      </c>
      <c r="B873" s="7" t="str">
        <f aca="false">IF(C873="","none",IF(C873="Cavity","res","mass"))</f>
        <v>none</v>
      </c>
      <c r="C873" s="7" t="str">
        <f aca="false">IF(INDEX(Library!$S$5:$S$34,$U$864)="","",INDEX(Library!$S$5:$S$34,$U$864))</f>
        <v/>
      </c>
      <c r="D873" s="11" t="n">
        <f aca="false">IF(B873="mass",INDEX(Library!$T$5:$T$34,$U$864)/1000,0)</f>
        <v>0</v>
      </c>
      <c r="E873" s="7" t="n">
        <f aca="false">IF(B873="mass",INDEX(Materials!$B$5:$B$28,MATCH(C873,Materials!$A$5:$A$28,0)),0)</f>
        <v>0</v>
      </c>
      <c r="F873" s="7" t="n">
        <f aca="false">IF(B873="mass",INDEX(Materials!$C$5:$C$28,MATCH(C873,Materials!$A$5:$A$28,0)),0)</f>
        <v>0</v>
      </c>
      <c r="G873" s="7" t="n">
        <f aca="false">IF(B873="mass",INDEX(Materials!$D$5:$D$28,MATCH(C873,Materials!$A$5:$A$28,0)),0)</f>
        <v>0</v>
      </c>
      <c r="H873" s="10" t="n">
        <f aca="false">IF(B873="res",INDEX(Library!$T$5:$T$34,$U$864),0)</f>
        <v>0</v>
      </c>
      <c r="I873" s="11" t="n">
        <f aca="false">IF(B873="mass",SQRT(E873*($B$2*3600)/(PI()*F873*G873)),0)</f>
        <v>0</v>
      </c>
      <c r="J873" s="10" t="n">
        <f aca="false">IF(B873="mass",D873/I873,0)</f>
        <v>0</v>
      </c>
      <c r="K873" s="7" t="str">
        <f aca="false">IF(B873="mass",COMPLEX(COSH(J873)*COS(J873),SINH(J873)*SIN(J873)),COMPLEX(1,0))</f>
        <v>1</v>
      </c>
      <c r="L873" s="7" t="str">
        <f aca="false">IF(B873="mass",COMPLEX(-I873/(2*E873)*(SINH(J873)*COS(J873)+COSH(J873)*SIN(J873)),-I873/(2*E873)*(COSH(J873)*SIN(J873)-SINH(J873)*COS(J873))),COMPLEX(-H873,0))</f>
        <v>-0</v>
      </c>
      <c r="M873" s="7" t="str">
        <f aca="false">IF(B873="mass",COMPLEX(-E873/I873*(SINH(J873)*COS(J873)-COSH(J873)*SIN(J873)),-E873/I873*(SINH(J873)*COS(J873)+COSH(J873)*SIN(J873))),COMPLEX(0,0))</f>
        <v>0</v>
      </c>
      <c r="N873" s="7" t="str">
        <f aca="false">K873</f>
        <v>1</v>
      </c>
      <c r="O873" s="7" t="str">
        <f aca="false">IMSUM(IMPRODUCT(K873,O872),IMPRODUCT(L873,Q872))</f>
        <v>0.335385266388114+3.42349740073568i</v>
      </c>
      <c r="P873" s="7" t="str">
        <f aca="false">IMSUM(IMPRODUCT(K873,P872),IMPRODUCT(L873,R872))</f>
        <v>-2.35218445223841-1.07635454672057i</v>
      </c>
      <c r="Q873" s="7" t="str">
        <f aca="false">IMSUM(IMPRODUCT(M873,O872),IMPRODUCT(N873,Q872))</f>
        <v>0.821519393973874-1.65592828594971i</v>
      </c>
      <c r="R873" s="7" t="str">
        <f aca="false">IMSUM(IMPRODUCT(M873,P872),IMPRODUCT(N873,R872))</f>
        <v>0.794146786982549+0.870769236280313i</v>
      </c>
      <c r="S873" s="10" t="n">
        <f aca="false">IF(B873="mass",D873/E873,H873)</f>
        <v>0</v>
      </c>
      <c r="T873" s="12" t="n">
        <f aca="false">IF(B873="mass",F873*G873*D873,0)</f>
        <v>0</v>
      </c>
    </row>
    <row r="874" customFormat="false" ht="15" hidden="false" customHeight="false" outlineLevel="0" collapsed="false">
      <c r="A874" s="7" t="s">
        <v>50</v>
      </c>
      <c r="B874" s="7" t="str">
        <f aca="false">IF(C874="","none",IF(C874="Cavity","res","mass"))</f>
        <v>none</v>
      </c>
      <c r="C874" s="7" t="str">
        <f aca="false">IF(INDEX(Library!$U$5:$U$34,$U$864)="","",INDEX(Library!$U$5:$U$34,$U$864))</f>
        <v/>
      </c>
      <c r="D874" s="11" t="n">
        <f aca="false">IF(B874="mass",INDEX(Library!$V$5:$V$34,$U$864)/1000,0)</f>
        <v>0</v>
      </c>
      <c r="E874" s="7" t="n">
        <f aca="false">IF(B874="mass",INDEX(Materials!$B$5:$B$28,MATCH(C874,Materials!$A$5:$A$28,0)),0)</f>
        <v>0</v>
      </c>
      <c r="F874" s="7" t="n">
        <f aca="false">IF(B874="mass",INDEX(Materials!$C$5:$C$28,MATCH(C874,Materials!$A$5:$A$28,0)),0)</f>
        <v>0</v>
      </c>
      <c r="G874" s="7" t="n">
        <f aca="false">IF(B874="mass",INDEX(Materials!$D$5:$D$28,MATCH(C874,Materials!$A$5:$A$28,0)),0)</f>
        <v>0</v>
      </c>
      <c r="H874" s="10" t="n">
        <f aca="false">IF(B874="res",INDEX(Library!$V$5:$V$34,$U$864),0)</f>
        <v>0</v>
      </c>
      <c r="I874" s="11" t="n">
        <f aca="false">IF(B874="mass",SQRT(E874*($B$2*3600)/(PI()*F874*G874)),0)</f>
        <v>0</v>
      </c>
      <c r="J874" s="10" t="n">
        <f aca="false">IF(B874="mass",D874/I874,0)</f>
        <v>0</v>
      </c>
      <c r="K874" s="7" t="str">
        <f aca="false">IF(B874="mass",COMPLEX(COSH(J874)*COS(J874),SINH(J874)*SIN(J874)),COMPLEX(1,0))</f>
        <v>1</v>
      </c>
      <c r="L874" s="7" t="str">
        <f aca="false">IF(B874="mass",COMPLEX(-I874/(2*E874)*(SINH(J874)*COS(J874)+COSH(J874)*SIN(J874)),-I874/(2*E874)*(COSH(J874)*SIN(J874)-SINH(J874)*COS(J874))),COMPLEX(-H874,0))</f>
        <v>-0</v>
      </c>
      <c r="M874" s="7" t="str">
        <f aca="false">IF(B874="mass",COMPLEX(-E874/I874*(SINH(J874)*COS(J874)-COSH(J874)*SIN(J874)),-E874/I874*(SINH(J874)*COS(J874)+COSH(J874)*SIN(J874))),COMPLEX(0,0))</f>
        <v>0</v>
      </c>
      <c r="N874" s="7" t="str">
        <f aca="false">K874</f>
        <v>1</v>
      </c>
      <c r="O874" s="7" t="str">
        <f aca="false">IMSUM(IMPRODUCT(K874,O873),IMPRODUCT(L874,Q873))</f>
        <v>0.335385266388114+3.42349740073568i</v>
      </c>
      <c r="P874" s="7" t="str">
        <f aca="false">IMSUM(IMPRODUCT(K874,P873),IMPRODUCT(L874,R873))</f>
        <v>-2.35218445223841-1.07635454672057i</v>
      </c>
      <c r="Q874" s="7" t="str">
        <f aca="false">IMSUM(IMPRODUCT(M874,O873),IMPRODUCT(N874,Q873))</f>
        <v>0.821519393973874-1.65592828594971i</v>
      </c>
      <c r="R874" s="7" t="str">
        <f aca="false">IMSUM(IMPRODUCT(M874,P873),IMPRODUCT(N874,R873))</f>
        <v>0.794146786982549+0.870769236280313i</v>
      </c>
      <c r="S874" s="10" t="n">
        <f aca="false">IF(B874="mass",D874/E874,H874)</f>
        <v>0</v>
      </c>
      <c r="T874" s="12" t="n">
        <f aca="false">IF(B874="mass",F874*G874*D874,0)</f>
        <v>0</v>
      </c>
    </row>
    <row r="875" customFormat="false" ht="15" hidden="false" customHeight="false" outlineLevel="0" collapsed="false">
      <c r="A875" s="7" t="s">
        <v>51</v>
      </c>
      <c r="B875" s="7" t="str">
        <f aca="false">IF($W$864="ground","mass",IF($W$864="adiabatic","res","none"))</f>
        <v>res</v>
      </c>
      <c r="C875" s="7" t="str">
        <f aca="false">IF($W$864="ground","clay soil","")</f>
        <v/>
      </c>
      <c r="D875" s="11" t="n">
        <f aca="false">IF(B875="mass",1,0)</f>
        <v>0</v>
      </c>
      <c r="E875" s="7" t="n">
        <f aca="false">IF(B875="mass",INDEX(Materials!$B$5:$B$28,MATCH(C875,Materials!$A$5:$A$28,0)),0)</f>
        <v>0</v>
      </c>
      <c r="F875" s="7" t="n">
        <f aca="false">IF(B875="mass",INDEX(Materials!$C$5:$C$28,MATCH(C875,Materials!$A$5:$A$28,0)),0)</f>
        <v>0</v>
      </c>
      <c r="G875" s="7" t="n">
        <f aca="false">IF(B875="mass",INDEX(Materials!$D$5:$D$28,MATCH(C875,Materials!$A$5:$A$28,0)),0)</f>
        <v>0</v>
      </c>
      <c r="H875" s="12" t="n">
        <f aca="false">IF(B875="res",1000000,0)</f>
        <v>1000000</v>
      </c>
      <c r="I875" s="11" t="n">
        <f aca="false">IF(B875="mass",SQRT(E875*($B$2*3600)/(PI()*F875*G875)),0)</f>
        <v>0</v>
      </c>
      <c r="J875" s="10" t="n">
        <f aca="false">IF(B875="mass",D875/I875,0)</f>
        <v>0</v>
      </c>
      <c r="K875" s="7" t="str">
        <f aca="false">IF(B875="mass",COMPLEX(COSH(J875)*COS(J875),SINH(J875)*SIN(J875)),COMPLEX(1,0))</f>
        <v>1</v>
      </c>
      <c r="L875" s="7" t="str">
        <f aca="false">IF(B875="mass",COMPLEX(-I875/(2*E875)*(SINH(J875)*COS(J875)+COSH(J875)*SIN(J875)),-I875/(2*E875)*(COSH(J875)*SIN(J875)-SINH(J875)*COS(J875))),COMPLEX(-H875,0))</f>
        <v>-1000000</v>
      </c>
      <c r="M875" s="7" t="str">
        <f aca="false">IF(B875="mass",COMPLEX(-E875/I875*(SINH(J875)*COS(J875)-COSH(J875)*SIN(J875)),-E875/I875*(SINH(J875)*COS(J875)+COSH(J875)*SIN(J875))),COMPLEX(0,0))</f>
        <v>0</v>
      </c>
      <c r="N875" s="7" t="str">
        <f aca="false">K875</f>
        <v>1</v>
      </c>
      <c r="O875" s="7" t="str">
        <f aca="false">IMSUM(IMPRODUCT(K875,O874),IMPRODUCT(L875,Q874))</f>
        <v>-821519.058588608+1655931.70944711i</v>
      </c>
      <c r="P875" s="7" t="str">
        <f aca="false">IMSUM(IMPRODUCT(K875,P874),IMPRODUCT(L875,R874))</f>
        <v>-794149.139167001-870770.31263486i</v>
      </c>
      <c r="Q875" s="7" t="str">
        <f aca="false">IMSUM(IMPRODUCT(M875,O874),IMPRODUCT(N875,Q874))</f>
        <v>0.821519393973874-1.65592828594971i</v>
      </c>
      <c r="R875" s="7" t="str">
        <f aca="false">IMSUM(IMPRODUCT(M875,P874),IMPRODUCT(N875,R874))</f>
        <v>0.794146786982549+0.870769236280313i</v>
      </c>
      <c r="S875" s="10" t="n">
        <f aca="false">IF(B875="mass",D875/E875,H875)</f>
        <v>1000000</v>
      </c>
      <c r="T875" s="12" t="n">
        <f aca="false">IF(B875="mass",F875*G875*D875,0)</f>
        <v>0</v>
      </c>
    </row>
    <row r="876" customFormat="false" ht="15" hidden="false" customHeight="false" outlineLevel="0" collapsed="false">
      <c r="A876" s="7" t="s">
        <v>52</v>
      </c>
      <c r="B876" s="7" t="s">
        <v>42</v>
      </c>
      <c r="H876" s="10" t="n">
        <f aca="false">IF($W$864="ext",0.04,IF($W$864="room",$Y$864,0))</f>
        <v>0</v>
      </c>
      <c r="I876" s="11" t="n">
        <f aca="false">IF(B876="mass",SQRT(E876*($B$2*3600)/(PI()*F876*G876)),0)</f>
        <v>0</v>
      </c>
      <c r="J876" s="10" t="n">
        <f aca="false">IF(B876="mass",D876/I876,0)</f>
        <v>0</v>
      </c>
      <c r="K876" s="7" t="str">
        <f aca="false">IF(B876="mass",COMPLEX(COSH(J876)*COS(J876),SINH(J876)*SIN(J876)),COMPLEX(1,0))</f>
        <v>1</v>
      </c>
      <c r="L876" s="7" t="str">
        <f aca="false">IF(B876="mass",COMPLEX(-I876/(2*E876)*(SINH(J876)*COS(J876)+COSH(J876)*SIN(J876)),-I876/(2*E876)*(COSH(J876)*SIN(J876)-SINH(J876)*COS(J876))),COMPLEX(-H876,0))</f>
        <v>-0</v>
      </c>
      <c r="M876" s="7" t="str">
        <f aca="false">IF(B876="mass",COMPLEX(-E876/I876*(SINH(J876)*COS(J876)-COSH(J876)*SIN(J876)),-E876/I876*(SINH(J876)*COS(J876)+COSH(J876)*SIN(J876))),COMPLEX(0,0))</f>
        <v>0</v>
      </c>
      <c r="N876" s="7" t="str">
        <f aca="false">K876</f>
        <v>1</v>
      </c>
      <c r="O876" s="7" t="str">
        <f aca="false">IMSUM(IMPRODUCT(K876,O875),IMPRODUCT(L876,Q875))</f>
        <v>-821519.058588608+1655931.70944711i</v>
      </c>
      <c r="P876" s="7" t="str">
        <f aca="false">IMSUM(IMPRODUCT(K876,P875),IMPRODUCT(L876,R875))</f>
        <v>-794149.139167001-870770.31263486i</v>
      </c>
      <c r="Q876" s="7" t="str">
        <f aca="false">IMSUM(IMPRODUCT(M876,O875),IMPRODUCT(N876,Q875))</f>
        <v>0.821519393973874-1.65592828594971i</v>
      </c>
      <c r="R876" s="7" t="str">
        <f aca="false">IMSUM(IMPRODUCT(M876,P875),IMPRODUCT(N876,R875))</f>
        <v>0.794146786982549+0.870769236280313i</v>
      </c>
      <c r="S876" s="10" t="n">
        <f aca="false">IF(B876="mass",D876/E876,H876)</f>
        <v>0</v>
      </c>
      <c r="T876" s="12" t="n">
        <f aca="false">IF(B876="mass",F876*G876*D876,0)</f>
        <v>0</v>
      </c>
    </row>
    <row r="877" customFormat="false" ht="15" hidden="false" customHeight="false" outlineLevel="0" collapsed="false">
      <c r="A877" s="9" t="s">
        <v>53</v>
      </c>
      <c r="B877" s="13" t="str">
        <f aca="false">IF(OR($W$864="ext",$W$864="ground"),1/SUM(S866:S876),"–")</f>
        <v>–</v>
      </c>
      <c r="C877" s="9" t="s">
        <v>54</v>
      </c>
      <c r="D877" s="13" t="n">
        <f aca="false">IMABS(IMDIV(IMPRODUCT(O876,COMPLEX(-1,0)),P876))</f>
        <v>1.56850193744335</v>
      </c>
      <c r="E877" s="9" t="s">
        <v>55</v>
      </c>
      <c r="F877" s="14" t="n">
        <f aca="false">IMARGUMENT(IMDIV(IMPRODUCT(O876,COMPLEX(-1,0)),P876))*$B$2/(2*PI())</f>
        <v>4.58342516188638</v>
      </c>
      <c r="G877" s="9" t="s">
        <v>56</v>
      </c>
      <c r="H877" s="13" t="str">
        <f aca="false">IF($W$864="ext",IMABS(IMDIV(COMPLEX(-1,0),P876))*SUM(S866:S876),"–")</f>
        <v>–</v>
      </c>
      <c r="I877" s="9" t="s">
        <v>57</v>
      </c>
      <c r="J877" s="14" t="str">
        <f aca="false">IF($W$864="ext",MOD(-IMARGUMENT(IMDIV(COMPLEX(-1,0),P876))*$B$2/(2*PI()),24),"–")</f>
        <v>–</v>
      </c>
      <c r="K877" s="9" t="s">
        <v>58</v>
      </c>
      <c r="L877" s="15" t="n">
        <f aca="false">($B$2*3600)/(2*PI())*IMABS(IMDIV(IMSUB(O876,COMPLEX(1,0)),P876))/1000</f>
        <v>21.5684550671721</v>
      </c>
      <c r="M877" s="9" t="s">
        <v>59</v>
      </c>
      <c r="N877" s="15" t="n">
        <f aca="false">SUM(T867:T874)/1000</f>
        <v>23.98</v>
      </c>
      <c r="O877" s="9" t="s">
        <v>60</v>
      </c>
      <c r="P877" s="16" t="n">
        <f aca="false">SUM(S867:S874)</f>
        <v>2.36904761904762</v>
      </c>
    </row>
    <row r="879" customFormat="false" ht="15" hidden="false" customHeight="false" outlineLevel="0" collapsed="false">
      <c r="A879" s="4" t="s">
        <v>152</v>
      </c>
    </row>
    <row r="880" customFormat="false" ht="15" hidden="false" customHeight="false" outlineLevel="0" collapsed="false">
      <c r="A880" s="9"/>
      <c r="B880" s="9" t="s">
        <v>62</v>
      </c>
      <c r="C880" s="9" t="s">
        <v>63</v>
      </c>
      <c r="D880" s="9"/>
      <c r="E880" s="9"/>
      <c r="F880" s="9"/>
      <c r="G880" s="9"/>
      <c r="H880" s="9"/>
      <c r="I880" s="9"/>
      <c r="J880" s="9"/>
      <c r="K880" s="9" t="s">
        <v>32</v>
      </c>
      <c r="L880" s="9" t="s">
        <v>33</v>
      </c>
      <c r="M880" s="9" t="s">
        <v>34</v>
      </c>
      <c r="N880" s="9" t="s">
        <v>35</v>
      </c>
      <c r="O880" s="9" t="s">
        <v>36</v>
      </c>
      <c r="P880" s="9" t="s">
        <v>37</v>
      </c>
      <c r="Q880" s="9" t="s">
        <v>38</v>
      </c>
      <c r="R880" s="9" t="s">
        <v>39</v>
      </c>
    </row>
    <row r="881" customFormat="false" ht="15" hidden="false" customHeight="false" outlineLevel="0" collapsed="false">
      <c r="A881" s="7" t="s">
        <v>22</v>
      </c>
      <c r="B881" s="7" t="s">
        <v>42</v>
      </c>
      <c r="C881" s="10" t="n">
        <f aca="false">$Y$864</f>
        <v>0.13</v>
      </c>
      <c r="K881" s="7" t="str">
        <f aca="false">COMPLEX(1,0)</f>
        <v>1</v>
      </c>
      <c r="L881" s="7" t="str">
        <f aca="false">COMPLEX(-C881,0)</f>
        <v>-0.13</v>
      </c>
      <c r="M881" s="7" t="str">
        <f aca="false">COMPLEX(0,0)</f>
        <v>0</v>
      </c>
      <c r="N881" s="7" t="str">
        <f aca="false">COMPLEX(1,0)</f>
        <v>1</v>
      </c>
      <c r="O881" s="7" t="str">
        <f aca="false">K881</f>
        <v>1</v>
      </c>
      <c r="P881" s="7" t="str">
        <f aca="false">L881</f>
        <v>-0.13</v>
      </c>
      <c r="Q881" s="7" t="str">
        <f aca="false">M881</f>
        <v>0</v>
      </c>
      <c r="R881" s="7" t="str">
        <f aca="false">N881</f>
        <v>1</v>
      </c>
    </row>
    <row r="882" customFormat="false" ht="15" hidden="false" customHeight="false" outlineLevel="0" collapsed="false">
      <c r="A882" s="7" t="s">
        <v>64</v>
      </c>
      <c r="B882" s="7" t="s">
        <v>65</v>
      </c>
      <c r="C882" s="10" t="n">
        <f aca="false">INDEX(Classes!$B$5:$F$9,MATCH(Engine!$C$863,Classes!$A$5:$A$9,0),5)*(N877*1000)</f>
        <v>23980</v>
      </c>
      <c r="K882" s="7" t="str">
        <f aca="false">COMPLEX(1,0)</f>
        <v>1</v>
      </c>
      <c r="L882" s="7" t="str">
        <f aca="false">COMPLEX(0,0)</f>
        <v>0</v>
      </c>
      <c r="M882" s="7" t="str">
        <f aca="false">COMPLEX(0,-(2*PI()/($B$2*3600))*C882)</f>
        <v>-1.743874810951i</v>
      </c>
      <c r="N882" s="7" t="str">
        <f aca="false">COMPLEX(1,0)</f>
        <v>1</v>
      </c>
      <c r="O882" s="7" t="str">
        <f aca="false">IMSUM(IMPRODUCT(K882,O881),IMPRODUCT(L882,Q881))</f>
        <v>1</v>
      </c>
      <c r="P882" s="7" t="str">
        <f aca="false">IMSUM(IMPRODUCT(K882,P881),IMPRODUCT(L882,R881))</f>
        <v>-0.13</v>
      </c>
      <c r="Q882" s="7" t="str">
        <f aca="false">IMSUM(IMPRODUCT(M882,O881),IMPRODUCT(N882,Q881))</f>
        <v>-1.743874810951i</v>
      </c>
      <c r="R882" s="7" t="str">
        <f aca="false">IMSUM(IMPRODUCT(M882,P881),IMPRODUCT(N882,R881))</f>
        <v>1+0.22670372542363i</v>
      </c>
    </row>
    <row r="883" customFormat="false" ht="15" hidden="false" customHeight="false" outlineLevel="0" collapsed="false">
      <c r="A883" s="7" t="s">
        <v>66</v>
      </c>
      <c r="B883" s="7" t="s">
        <v>42</v>
      </c>
      <c r="C883" s="10" t="n">
        <f aca="false">P877/6</f>
        <v>0.39484126984127</v>
      </c>
      <c r="K883" s="7" t="str">
        <f aca="false">COMPLEX(1,0)</f>
        <v>1</v>
      </c>
      <c r="L883" s="7" t="str">
        <f aca="false">COMPLEX(-C883,0)</f>
        <v>-0.39484126984127</v>
      </c>
      <c r="M883" s="7" t="str">
        <f aca="false">COMPLEX(0,0)</f>
        <v>0</v>
      </c>
      <c r="N883" s="7" t="str">
        <f aca="false">COMPLEX(1,0)</f>
        <v>1</v>
      </c>
      <c r="O883" s="7" t="str">
        <f aca="false">IMSUM(IMPRODUCT(K883,O882),IMPRODUCT(L883,Q882))</f>
        <v>1+0.688553744800098i</v>
      </c>
      <c r="P883" s="7" t="str">
        <f aca="false">IMSUM(IMPRODUCT(K883,P882),IMPRODUCT(L883,R882))</f>
        <v>-0.52484126984127-0.0895119868240127i</v>
      </c>
      <c r="Q883" s="7" t="str">
        <f aca="false">IMSUM(IMPRODUCT(M883,O882),IMPRODUCT(N883,Q882))</f>
        <v>-1.743874810951i</v>
      </c>
      <c r="R883" s="7" t="str">
        <f aca="false">IMSUM(IMPRODUCT(M883,P882),IMPRODUCT(N883,R882))</f>
        <v>1+0.22670372542363i</v>
      </c>
    </row>
    <row r="884" customFormat="false" ht="15" hidden="false" customHeight="false" outlineLevel="0" collapsed="false">
      <c r="A884" s="7" t="s">
        <v>67</v>
      </c>
      <c r="B884" s="7" t="s">
        <v>65</v>
      </c>
      <c r="C884" s="10" t="n">
        <f aca="false">INDEX(Classes!$B$5:$F$9,MATCH(Engine!$C$863,Classes!$A$5:$A$9,0),4)*(N877*1000)</f>
        <v>0</v>
      </c>
      <c r="K884" s="7" t="str">
        <f aca="false">COMPLEX(1,0)</f>
        <v>1</v>
      </c>
      <c r="L884" s="7" t="str">
        <f aca="false">COMPLEX(0,0)</f>
        <v>0</v>
      </c>
      <c r="M884" s="7" t="str">
        <f aca="false">COMPLEX(0,-(2*PI()/($B$2*3600))*C884)</f>
        <v>0</v>
      </c>
      <c r="N884" s="7" t="str">
        <f aca="false">COMPLEX(1,0)</f>
        <v>1</v>
      </c>
      <c r="O884" s="7" t="str">
        <f aca="false">IMSUM(IMPRODUCT(K884,O883),IMPRODUCT(L884,Q883))</f>
        <v>1+0.688553744800098i</v>
      </c>
      <c r="P884" s="7" t="str">
        <f aca="false">IMSUM(IMPRODUCT(K884,P883),IMPRODUCT(L884,R883))</f>
        <v>-0.52484126984127-0.0895119868240127i</v>
      </c>
      <c r="Q884" s="7" t="str">
        <f aca="false">IMSUM(IMPRODUCT(M884,O883),IMPRODUCT(N884,Q883))</f>
        <v>-1.743874810951i</v>
      </c>
      <c r="R884" s="7" t="str">
        <f aca="false">IMSUM(IMPRODUCT(M884,P883),IMPRODUCT(N884,R883))</f>
        <v>1+0.22670372542363i</v>
      </c>
    </row>
    <row r="885" customFormat="false" ht="15" hidden="false" customHeight="false" outlineLevel="0" collapsed="false">
      <c r="A885" s="7" t="s">
        <v>68</v>
      </c>
      <c r="B885" s="7" t="s">
        <v>42</v>
      </c>
      <c r="C885" s="10" t="n">
        <f aca="false">P877/3</f>
        <v>0.78968253968254</v>
      </c>
      <c r="K885" s="7" t="str">
        <f aca="false">COMPLEX(1,0)</f>
        <v>1</v>
      </c>
      <c r="L885" s="7" t="str">
        <f aca="false">COMPLEX(-C885,0)</f>
        <v>-0.78968253968254</v>
      </c>
      <c r="M885" s="7" t="str">
        <f aca="false">COMPLEX(0,0)</f>
        <v>0</v>
      </c>
      <c r="N885" s="7" t="str">
        <f aca="false">COMPLEX(1,0)</f>
        <v>1</v>
      </c>
      <c r="O885" s="7" t="str">
        <f aca="false">IMSUM(IMPRODUCT(K885,O884),IMPRODUCT(L885,Q884))</f>
        <v>1+2.06566123440029i</v>
      </c>
      <c r="P885" s="7" t="str">
        <f aca="false">IMSUM(IMPRODUCT(K885,P884),IMPRODUCT(L885,R884))</f>
        <v>-1.31452380952381-0.268535960472038i</v>
      </c>
      <c r="Q885" s="7" t="str">
        <f aca="false">IMSUM(IMPRODUCT(M885,O884),IMPRODUCT(N885,Q884))</f>
        <v>-1.743874810951i</v>
      </c>
      <c r="R885" s="7" t="str">
        <f aca="false">IMSUM(IMPRODUCT(M885,P884),IMPRODUCT(N885,R884))</f>
        <v>1+0.22670372542363i</v>
      </c>
    </row>
    <row r="886" customFormat="false" ht="15" hidden="false" customHeight="false" outlineLevel="0" collapsed="false">
      <c r="A886" s="7" t="s">
        <v>69</v>
      </c>
      <c r="B886" s="7" t="s">
        <v>65</v>
      </c>
      <c r="C886" s="10" t="n">
        <f aca="false">INDEX(Classes!$B$5:$F$9,MATCH(Engine!$C$863,Classes!$A$5:$A$9,0),3)*(N877*1000)</f>
        <v>0</v>
      </c>
      <c r="K886" s="7" t="str">
        <f aca="false">COMPLEX(1,0)</f>
        <v>1</v>
      </c>
      <c r="L886" s="7" t="str">
        <f aca="false">COMPLEX(0,0)</f>
        <v>0</v>
      </c>
      <c r="M886" s="7" t="str">
        <f aca="false">COMPLEX(0,-(2*PI()/($B$2*3600))*C886)</f>
        <v>0</v>
      </c>
      <c r="N886" s="7" t="str">
        <f aca="false">COMPLEX(1,0)</f>
        <v>1</v>
      </c>
      <c r="O886" s="7" t="str">
        <f aca="false">IMSUM(IMPRODUCT(K886,O885),IMPRODUCT(L886,Q885))</f>
        <v>1+2.06566123440029i</v>
      </c>
      <c r="P886" s="7" t="str">
        <f aca="false">IMSUM(IMPRODUCT(K886,P885),IMPRODUCT(L886,R885))</f>
        <v>-1.31452380952381-0.268535960472038i</v>
      </c>
      <c r="Q886" s="7" t="str">
        <f aca="false">IMSUM(IMPRODUCT(M886,O885),IMPRODUCT(N886,Q885))</f>
        <v>-1.743874810951i</v>
      </c>
      <c r="R886" s="7" t="str">
        <f aca="false">IMSUM(IMPRODUCT(M886,P885),IMPRODUCT(N886,R885))</f>
        <v>1+0.22670372542363i</v>
      </c>
    </row>
    <row r="887" customFormat="false" ht="15" hidden="false" customHeight="false" outlineLevel="0" collapsed="false">
      <c r="A887" s="7" t="s">
        <v>68</v>
      </c>
      <c r="B887" s="7" t="s">
        <v>42</v>
      </c>
      <c r="C887" s="10" t="n">
        <f aca="false">P877/3</f>
        <v>0.78968253968254</v>
      </c>
      <c r="K887" s="7" t="str">
        <f aca="false">COMPLEX(1,0)</f>
        <v>1</v>
      </c>
      <c r="L887" s="7" t="str">
        <f aca="false">COMPLEX(-C887,0)</f>
        <v>-0.78968253968254</v>
      </c>
      <c r="M887" s="7" t="str">
        <f aca="false">COMPLEX(0,0)</f>
        <v>0</v>
      </c>
      <c r="N887" s="7" t="str">
        <f aca="false">COMPLEX(1,0)</f>
        <v>1</v>
      </c>
      <c r="O887" s="7" t="str">
        <f aca="false">IMSUM(IMPRODUCT(K887,O886),IMPRODUCT(L887,Q886))</f>
        <v>1+3.44276872400048i</v>
      </c>
      <c r="P887" s="7" t="str">
        <f aca="false">IMSUM(IMPRODUCT(K887,P886),IMPRODUCT(L887,R886))</f>
        <v>-2.10420634920635-0.447559934120063i</v>
      </c>
      <c r="Q887" s="7" t="str">
        <f aca="false">IMSUM(IMPRODUCT(M887,O886),IMPRODUCT(N887,Q886))</f>
        <v>-1.743874810951i</v>
      </c>
      <c r="R887" s="7" t="str">
        <f aca="false">IMSUM(IMPRODUCT(M887,P886),IMPRODUCT(N887,R886))</f>
        <v>1+0.22670372542363i</v>
      </c>
    </row>
    <row r="888" customFormat="false" ht="15" hidden="false" customHeight="false" outlineLevel="0" collapsed="false">
      <c r="A888" s="7" t="s">
        <v>70</v>
      </c>
      <c r="B888" s="7" t="s">
        <v>65</v>
      </c>
      <c r="C888" s="10" t="n">
        <f aca="false">INDEX(Classes!$B$5:$F$9,MATCH(Engine!$C$863,Classes!$A$5:$A$9,0),2)*(N877*1000)</f>
        <v>0</v>
      </c>
      <c r="K888" s="7" t="str">
        <f aca="false">COMPLEX(1,0)</f>
        <v>1</v>
      </c>
      <c r="L888" s="7" t="str">
        <f aca="false">COMPLEX(0,0)</f>
        <v>0</v>
      </c>
      <c r="M888" s="7" t="str">
        <f aca="false">COMPLEX(0,-(2*PI()/($B$2*3600))*C888)</f>
        <v>0</v>
      </c>
      <c r="N888" s="7" t="str">
        <f aca="false">COMPLEX(1,0)</f>
        <v>1</v>
      </c>
      <c r="O888" s="7" t="str">
        <f aca="false">IMSUM(IMPRODUCT(K888,O887),IMPRODUCT(L888,Q887))</f>
        <v>1+3.44276872400048i</v>
      </c>
      <c r="P888" s="7" t="str">
        <f aca="false">IMSUM(IMPRODUCT(K888,P887),IMPRODUCT(L888,R887))</f>
        <v>-2.10420634920635-0.447559934120063i</v>
      </c>
      <c r="Q888" s="7" t="str">
        <f aca="false">IMSUM(IMPRODUCT(M888,O887),IMPRODUCT(N888,Q887))</f>
        <v>-1.743874810951i</v>
      </c>
      <c r="R888" s="7" t="str">
        <f aca="false">IMSUM(IMPRODUCT(M888,P887),IMPRODUCT(N888,R887))</f>
        <v>1+0.22670372542363i</v>
      </c>
    </row>
    <row r="889" customFormat="false" ht="15" hidden="false" customHeight="false" outlineLevel="0" collapsed="false">
      <c r="A889" s="7" t="s">
        <v>66</v>
      </c>
      <c r="B889" s="7" t="s">
        <v>42</v>
      </c>
      <c r="C889" s="10" t="n">
        <f aca="false">P877/6</f>
        <v>0.39484126984127</v>
      </c>
      <c r="K889" s="7" t="str">
        <f aca="false">COMPLEX(1,0)</f>
        <v>1</v>
      </c>
      <c r="L889" s="7" t="str">
        <f aca="false">COMPLEX(-C889,0)</f>
        <v>-0.39484126984127</v>
      </c>
      <c r="M889" s="7" t="str">
        <f aca="false">COMPLEX(0,0)</f>
        <v>0</v>
      </c>
      <c r="N889" s="7" t="str">
        <f aca="false">COMPLEX(1,0)</f>
        <v>1</v>
      </c>
      <c r="O889" s="7" t="str">
        <f aca="false">IMSUM(IMPRODUCT(K889,O888),IMPRODUCT(L889,Q888))</f>
        <v>1+4.13132246880058i</v>
      </c>
      <c r="P889" s="7" t="str">
        <f aca="false">IMSUM(IMPRODUCT(K889,P888),IMPRODUCT(L889,R888))</f>
        <v>-2.49904761904762-0.537071920944076i</v>
      </c>
      <c r="Q889" s="7" t="str">
        <f aca="false">IMSUM(IMPRODUCT(M889,O888),IMPRODUCT(N889,Q888))</f>
        <v>-1.743874810951i</v>
      </c>
      <c r="R889" s="7" t="str">
        <f aca="false">IMSUM(IMPRODUCT(M889,P888),IMPRODUCT(N889,R888))</f>
        <v>1+0.22670372542363i</v>
      </c>
    </row>
    <row r="890" customFormat="false" ht="15" hidden="false" customHeight="false" outlineLevel="0" collapsed="false">
      <c r="A890" s="7" t="s">
        <v>71</v>
      </c>
      <c r="B890" s="7" t="s">
        <v>65</v>
      </c>
      <c r="C890" s="10" t="n">
        <f aca="false">INDEX(Classes!$B$5:$F$9,MATCH(Engine!$C$863,Classes!$A$5:$A$9,0),1)*(N877*1000)</f>
        <v>0</v>
      </c>
      <c r="K890" s="7" t="str">
        <f aca="false">COMPLEX(1,0)</f>
        <v>1</v>
      </c>
      <c r="L890" s="7" t="str">
        <f aca="false">COMPLEX(0,0)</f>
        <v>0</v>
      </c>
      <c r="M890" s="7" t="str">
        <f aca="false">COMPLEX(0,-(2*PI()/($B$2*3600))*C890)</f>
        <v>0</v>
      </c>
      <c r="N890" s="7" t="str">
        <f aca="false">COMPLEX(1,0)</f>
        <v>1</v>
      </c>
      <c r="O890" s="7" t="str">
        <f aca="false">IMSUM(IMPRODUCT(K890,O889),IMPRODUCT(L890,Q889))</f>
        <v>1+4.13132246880058i</v>
      </c>
      <c r="P890" s="7" t="str">
        <f aca="false">IMSUM(IMPRODUCT(K890,P889),IMPRODUCT(L890,R889))</f>
        <v>-2.49904761904762-0.537071920944076i</v>
      </c>
      <c r="Q890" s="7" t="str">
        <f aca="false">IMSUM(IMPRODUCT(M890,O889),IMPRODUCT(N890,Q889))</f>
        <v>-1.743874810951i</v>
      </c>
      <c r="R890" s="7" t="str">
        <f aca="false">IMSUM(IMPRODUCT(M890,P889),IMPRODUCT(N890,R889))</f>
        <v>1+0.22670372542363i</v>
      </c>
    </row>
    <row r="891" customFormat="false" ht="15" hidden="false" customHeight="false" outlineLevel="0" collapsed="false">
      <c r="A891" s="7" t="s">
        <v>72</v>
      </c>
      <c r="B891" s="7" t="s">
        <v>73</v>
      </c>
      <c r="K891" s="7" t="str">
        <f aca="false">K875</f>
        <v>1</v>
      </c>
      <c r="L891" s="7" t="str">
        <f aca="false">L875</f>
        <v>-1000000</v>
      </c>
      <c r="M891" s="7" t="str">
        <f aca="false">M875</f>
        <v>0</v>
      </c>
      <c r="N891" s="7" t="str">
        <f aca="false">N875</f>
        <v>1</v>
      </c>
      <c r="O891" s="7" t="str">
        <f aca="false">IMSUM(IMPRODUCT(K891,O890),IMPRODUCT(L891,Q890))</f>
        <v>1+1743878.94227347i</v>
      </c>
      <c r="P891" s="7" t="str">
        <f aca="false">IMSUM(IMPRODUCT(K891,P890),IMPRODUCT(L891,R890))</f>
        <v>-1000002.49904762-226704.262495551i</v>
      </c>
      <c r="Q891" s="7" t="str">
        <f aca="false">IMSUM(IMPRODUCT(M891,O890),IMPRODUCT(N891,Q890))</f>
        <v>-1.743874810951i</v>
      </c>
      <c r="R891" s="7" t="str">
        <f aca="false">IMSUM(IMPRODUCT(M891,P890),IMPRODUCT(N891,R890))</f>
        <v>1+0.22670372542363i</v>
      </c>
    </row>
    <row r="892" customFormat="false" ht="15" hidden="false" customHeight="false" outlineLevel="0" collapsed="false">
      <c r="A892" s="7" t="s">
        <v>52</v>
      </c>
      <c r="B892" s="7" t="s">
        <v>73</v>
      </c>
      <c r="K892" s="7" t="str">
        <f aca="false">K876</f>
        <v>1</v>
      </c>
      <c r="L892" s="7" t="str">
        <f aca="false">L876</f>
        <v>-0</v>
      </c>
      <c r="M892" s="7" t="str">
        <f aca="false">M876</f>
        <v>0</v>
      </c>
      <c r="N892" s="7" t="str">
        <f aca="false">N876</f>
        <v>1</v>
      </c>
      <c r="O892" s="7" t="str">
        <f aca="false">IMSUM(IMPRODUCT(K892,O891),IMPRODUCT(L892,Q891))</f>
        <v>1+1743878.94227347i</v>
      </c>
      <c r="P892" s="7" t="str">
        <f aca="false">IMSUM(IMPRODUCT(K892,P891),IMPRODUCT(L892,R891))</f>
        <v>-1000002.49904762-226704.262495551i</v>
      </c>
      <c r="Q892" s="7" t="str">
        <f aca="false">IMSUM(IMPRODUCT(M892,O891),IMPRODUCT(N892,Q891))</f>
        <v>-1.743874810951i</v>
      </c>
      <c r="R892" s="7" t="str">
        <f aca="false">IMSUM(IMPRODUCT(M892,P891),IMPRODUCT(N892,R891))</f>
        <v>1+0.22670372542363i</v>
      </c>
    </row>
    <row r="893" customFormat="false" ht="15" hidden="false" customHeight="false" outlineLevel="0" collapsed="false">
      <c r="A893" s="9" t="s">
        <v>74</v>
      </c>
      <c r="B893" s="13" t="n">
        <f aca="false">IMABS(IMDIV(IMPRODUCT(O892,COMPLEX(-1,0)),P892))</f>
        <v>1.70071829754946</v>
      </c>
    </row>
    <row r="896" customFormat="false" ht="15" hidden="false" customHeight="false" outlineLevel="0" collapsed="false">
      <c r="A896" s="4" t="s">
        <v>153</v>
      </c>
      <c r="B896" s="9" t="s">
        <v>18</v>
      </c>
      <c r="C896" s="7" t="str">
        <f aca="false">INDEX(Library!$F$5:$F$34,MATCH(A896,Library!$A$5:$A$34,0))</f>
        <v>D</v>
      </c>
    </row>
    <row r="897" customFormat="false" ht="15" hidden="false" customHeight="false" outlineLevel="0" collapsed="false">
      <c r="A897" s="4" t="s">
        <v>154</v>
      </c>
      <c r="T897" s="9" t="s">
        <v>20</v>
      </c>
      <c r="U897" s="7" t="n">
        <f aca="false">MATCH($A$896,Library!$A$5:$A$34,0)</f>
        <v>28</v>
      </c>
      <c r="V897" s="9" t="s">
        <v>21</v>
      </c>
      <c r="W897" s="7" t="str">
        <f aca="false">INDEX(Library!$D$5:$D$34,$U$897)</f>
        <v>ext</v>
      </c>
      <c r="X897" s="9" t="s">
        <v>22</v>
      </c>
      <c r="Y897" s="7" t="n">
        <f aca="false">INDEX(Library!$E$5:$E$34,$U$897)</f>
        <v>0.1</v>
      </c>
    </row>
    <row r="898" customFormat="false" ht="15" hidden="false" customHeight="false" outlineLevel="0" collapsed="false">
      <c r="A898" s="9"/>
      <c r="B898" s="9" t="s">
        <v>23</v>
      </c>
      <c r="C898" s="9" t="s">
        <v>24</v>
      </c>
      <c r="D898" s="9" t="s">
        <v>25</v>
      </c>
      <c r="E898" s="9" t="s">
        <v>26</v>
      </c>
      <c r="F898" s="9" t="s">
        <v>27</v>
      </c>
      <c r="G898" s="9" t="s">
        <v>28</v>
      </c>
      <c r="H898" s="9" t="s">
        <v>29</v>
      </c>
      <c r="I898" s="9" t="s">
        <v>30</v>
      </c>
      <c r="J898" s="9" t="s">
        <v>31</v>
      </c>
      <c r="K898" s="9" t="s">
        <v>32</v>
      </c>
      <c r="L898" s="9" t="s">
        <v>33</v>
      </c>
      <c r="M898" s="9" t="s">
        <v>34</v>
      </c>
      <c r="N898" s="9" t="s">
        <v>35</v>
      </c>
      <c r="O898" s="9" t="s">
        <v>36</v>
      </c>
      <c r="P898" s="9" t="s">
        <v>37</v>
      </c>
      <c r="Q898" s="9" t="s">
        <v>38</v>
      </c>
      <c r="R898" s="9" t="s">
        <v>39</v>
      </c>
      <c r="S898" s="9" t="s">
        <v>40</v>
      </c>
      <c r="T898" s="9" t="s">
        <v>41</v>
      </c>
    </row>
    <row r="899" customFormat="false" ht="15" hidden="false" customHeight="false" outlineLevel="0" collapsed="false">
      <c r="A899" s="7" t="s">
        <v>22</v>
      </c>
      <c r="B899" s="7" t="s">
        <v>42</v>
      </c>
      <c r="H899" s="10" t="n">
        <f aca="false">$Y$897</f>
        <v>0.1</v>
      </c>
      <c r="I899" s="11" t="n">
        <f aca="false">IF(B899="mass",SQRT(E899*($B$2*3600)/(PI()*F899*G899)),0)</f>
        <v>0</v>
      </c>
      <c r="J899" s="10" t="n">
        <f aca="false">IF(B899="mass",D899/I899,0)</f>
        <v>0</v>
      </c>
      <c r="K899" s="7" t="str">
        <f aca="false">IF(B899="mass",COMPLEX(COSH(J899)*COS(J899),SINH(J899)*SIN(J899)),COMPLEX(1,0))</f>
        <v>1</v>
      </c>
      <c r="L899" s="7" t="str">
        <f aca="false">IF(B899="mass",COMPLEX(-I899/(2*E899)*(SINH(J899)*COS(J899)+COSH(J899)*SIN(J899)),-I899/(2*E899)*(COSH(J899)*SIN(J899)-SINH(J899)*COS(J899))),COMPLEX(-H899,0))</f>
        <v>-0.1</v>
      </c>
      <c r="M899" s="7" t="str">
        <f aca="false">IF(B899="mass",COMPLEX(-E899/I899*(SINH(J899)*COS(J899)-COSH(J899)*SIN(J899)),-E899/I899*(SINH(J899)*COS(J899)+COSH(J899)*SIN(J899))),COMPLEX(0,0))</f>
        <v>0</v>
      </c>
      <c r="N899" s="7" t="str">
        <f aca="false">K899</f>
        <v>1</v>
      </c>
      <c r="O899" s="7" t="str">
        <f aca="false">K899</f>
        <v>1</v>
      </c>
      <c r="P899" s="7" t="str">
        <f aca="false">L899</f>
        <v>-0.1</v>
      </c>
      <c r="Q899" s="7" t="str">
        <f aca="false">M899</f>
        <v>0</v>
      </c>
      <c r="R899" s="7" t="str">
        <f aca="false">N899</f>
        <v>1</v>
      </c>
      <c r="S899" s="10" t="n">
        <f aca="false">IF(B899="mass",D899/E899,H899)</f>
        <v>0.1</v>
      </c>
      <c r="T899" s="12" t="n">
        <f aca="false">IF(B899="mass",F899*G899*D899,0)</f>
        <v>0</v>
      </c>
    </row>
    <row r="900" customFormat="false" ht="15" hidden="false" customHeight="false" outlineLevel="0" collapsed="false">
      <c r="A900" s="7" t="s">
        <v>43</v>
      </c>
      <c r="B900" s="7" t="str">
        <f aca="false">IF(C900="","none",IF(C900="Cavity","res","mass"))</f>
        <v>mass</v>
      </c>
      <c r="C900" s="7" t="str">
        <f aca="false">IF(INDEX(Library!$G$5:$G$34,$U$897)="","",INDEX(Library!$G$5:$G$34,$U$897))</f>
        <v>plasterboard</v>
      </c>
      <c r="D900" s="11" t="n">
        <f aca="false">IF(B900="mass",INDEX(Library!$H$5:$H$34,$U$897)/1000,0)</f>
        <v>0.0125</v>
      </c>
      <c r="E900" s="7" t="n">
        <f aca="false">IF(B900="mass",INDEX(Materials!$B$5:$B$28,MATCH(C900,Materials!$A$5:$A$28,0)),0)</f>
        <v>0.21</v>
      </c>
      <c r="F900" s="7" t="n">
        <f aca="false">IF(B900="mass",INDEX(Materials!$C$5:$C$28,MATCH(C900,Materials!$A$5:$A$28,0)),0)</f>
        <v>700</v>
      </c>
      <c r="G900" s="7" t="n">
        <f aca="false">IF(B900="mass",INDEX(Materials!$D$5:$D$28,MATCH(C900,Materials!$A$5:$A$28,0)),0)</f>
        <v>1000</v>
      </c>
      <c r="H900" s="10" t="n">
        <f aca="false">IF(B900="res",INDEX(Library!$H$5:$H$34,$U$897),0)</f>
        <v>0</v>
      </c>
      <c r="I900" s="11" t="n">
        <f aca="false">IF(B900="mass",SQRT(E900*($B$2*3600)/(PI()*F900*G900)),0)</f>
        <v>0.0908327707927258</v>
      </c>
      <c r="J900" s="10" t="n">
        <f aca="false">IF(B900="mass",D900/I900,0)</f>
        <v>0.137615531166875</v>
      </c>
      <c r="K900" s="7" t="str">
        <f aca="false">IF(B900="mass",COMPLEX(COSH(J900)*COS(J900),SINH(J900)*SIN(J900)),COMPLEX(1,0))</f>
        <v>0.999940225193105+0.0189379589504749i</v>
      </c>
      <c r="L900" s="7" t="str">
        <f aca="false">IF(B900="mass",COMPLEX(-I900/(2*E900)*(SINH(J900)*COS(J900)+COSH(J900)*SIN(J900)),-I900/(2*E900)*(COSH(J900)*SIN(J900)-SINH(J900)*COS(J900))),COMPLEX(-H900,0))</f>
        <v>-0.0595230979186955-0.000375754009423939i</v>
      </c>
      <c r="M900" s="7" t="str">
        <f aca="false">IF(B900="mass",COMPLEX(-E900/I900*(SINH(J900)*COS(J900)-COSH(J900)*SIN(J900)),-E900/I900*(SINH(J900)*COS(J900)+COSH(J900)*SIN(J900))),COMPLEX(0,0))</f>
        <v>0.00401686359323574-0.636310349296785i</v>
      </c>
      <c r="N900" s="7" t="str">
        <f aca="false">K900</f>
        <v>0.999940225193105+0.0189379589504749i</v>
      </c>
      <c r="O900" s="7" t="str">
        <f aca="false">IMSUM(IMPRODUCT(K900,O899),IMPRODUCT(L900,Q899))</f>
        <v>0.999940225193105+0.0189379589504749i</v>
      </c>
      <c r="P900" s="7" t="str">
        <f aca="false">IMSUM(IMPRODUCT(K900,P899),IMPRODUCT(L900,R899))</f>
        <v>-0.159517120438006-0.00226954990447142i</v>
      </c>
      <c r="Q900" s="7" t="str">
        <f aca="false">IMSUM(IMPRODUCT(M900,O899),IMPRODUCT(N900,Q899))</f>
        <v>0.00401686359323574-0.636310349296785i</v>
      </c>
      <c r="R900" s="7" t="str">
        <f aca="false">IMSUM(IMPRODUCT(M900,P899),IMPRODUCT(N900,R899))</f>
        <v>0.999538538833782+0.0825689938801534i</v>
      </c>
      <c r="S900" s="10" t="n">
        <f aca="false">IF(B900="mass",D900/E900,H900)</f>
        <v>0.0595238095238095</v>
      </c>
      <c r="T900" s="12" t="n">
        <f aca="false">IF(B900="mass",F900*G900*D900,0)</f>
        <v>8750</v>
      </c>
    </row>
    <row r="901" customFormat="false" ht="15" hidden="false" customHeight="false" outlineLevel="0" collapsed="false">
      <c r="A901" s="7" t="s">
        <v>44</v>
      </c>
      <c r="B901" s="7" t="str">
        <f aca="false">IF(C901="","none",IF(C901="Cavity","res","mass"))</f>
        <v>mass</v>
      </c>
      <c r="C901" s="7" t="str">
        <f aca="false">IF(INDEX(Library!$I$5:$I$34,$U$897)="","",INDEX(Library!$I$5:$I$34,$U$897))</f>
        <v>mineral wool</v>
      </c>
      <c r="D901" s="11" t="n">
        <f aca="false">IF(B901="mass",INDEX(Library!$J$5:$J$34,$U$897)/1000,0)</f>
        <v>0.3</v>
      </c>
      <c r="E901" s="7" t="n">
        <f aca="false">IF(B901="mass",INDEX(Materials!$B$5:$B$28,MATCH(C901,Materials!$A$5:$A$28,0)),0)</f>
        <v>0.035</v>
      </c>
      <c r="F901" s="7" t="n">
        <f aca="false">IF(B901="mass",INDEX(Materials!$C$5:$C$28,MATCH(C901,Materials!$A$5:$A$28,0)),0)</f>
        <v>30</v>
      </c>
      <c r="G901" s="7" t="n">
        <f aca="false">IF(B901="mass",INDEX(Materials!$D$5:$D$28,MATCH(C901,Materials!$A$5:$A$28,0)),0)</f>
        <v>1030</v>
      </c>
      <c r="H901" s="10" t="n">
        <f aca="false">IF(B901="res",INDEX(Library!$J$5:$J$34,$U$897),0)</f>
        <v>0</v>
      </c>
      <c r="I901" s="11" t="n">
        <f aca="false">IF(B901="mass",SQRT(E901*($B$2*3600)/(PI()*F901*G901)),0)</f>
        <v>0.176496751881128</v>
      </c>
      <c r="J901" s="10" t="n">
        <f aca="false">IF(B901="mass",D901/I901,0)</f>
        <v>1.69974799424101</v>
      </c>
      <c r="K901" s="7" t="str">
        <f aca="false">IF(B901="mass",COMPLEX(COSH(J901)*COS(J901),SINH(J901)*SIN(J901)),COMPLEX(1,0))</f>
        <v>-0.363620328129463+2.62295915869779i</v>
      </c>
      <c r="L901" s="7" t="str">
        <f aca="false">IF(B901="mass",COMPLEX(-I901/(2*E901)*(SINH(J901)*COS(J901)+COSH(J901)*SIN(J901)),-I901/(2*E901)*(COSH(J901)*SIN(J901)-SINH(J901)*COS(J901))),COMPLEX(-H901,0))</f>
        <v>-6.21280990073323-7.92796648243017i</v>
      </c>
      <c r="M901" s="7" t="str">
        <f aca="false">IF(B901="mass",COMPLEX(-E901/I901*(SINH(J901)*COS(J901)-COSH(J901)*SIN(J901)),-E901/I901*(SINH(J901)*COS(J901)+COSH(J901)*SIN(J901))),COMPLEX(0,0))</f>
        <v>0.623525838465882-0.488630660985888i</v>
      </c>
      <c r="N901" s="7" t="str">
        <f aca="false">K901</f>
        <v>-0.363620328129463+2.62295915869779i</v>
      </c>
      <c r="O901" s="7" t="str">
        <f aca="false">IMSUM(IMPRODUCT(K901,O900),IMPRODUCT(L901,Q900))</f>
        <v>-5.48287521722105+6.53734582309133i</v>
      </c>
      <c r="P901" s="7" t="str">
        <f aca="false">IMSUM(IMPRODUCT(K901,P900),IMPRODUCT(L901,R900))</f>
        <v>-5.49138210987712-8.85487513398465i</v>
      </c>
      <c r="Q901" s="7" t="str">
        <f aca="false">IMSUM(IMPRODUCT(M901,O900),IMPRODUCT(N901,Q900))</f>
        <v>2.30029767993336-0.234881699294469i</v>
      </c>
      <c r="R901" s="7" t="str">
        <f aca="false">IMSUM(IMPRODUCT(M901,P900),IMPRODUCT(N901,R900))</f>
        <v>-0.680599648131927+2.66825483324851i</v>
      </c>
      <c r="S901" s="10" t="n">
        <f aca="false">IF(B901="mass",D901/E901,H901)</f>
        <v>8.57142857142857</v>
      </c>
      <c r="T901" s="12" t="n">
        <f aca="false">IF(B901="mass",F901*G901*D901,0)</f>
        <v>9270</v>
      </c>
    </row>
    <row r="902" customFormat="false" ht="15" hidden="false" customHeight="false" outlineLevel="0" collapsed="false">
      <c r="A902" s="7" t="s">
        <v>45</v>
      </c>
      <c r="B902" s="7" t="str">
        <f aca="false">IF(C902="","none",IF(C902="Cavity","res","mass"))</f>
        <v>none</v>
      </c>
      <c r="C902" s="7" t="str">
        <f aca="false">IF(INDEX(Library!$K$5:$K$34,$U$897)="","",INDEX(Library!$K$5:$K$34,$U$897))</f>
        <v/>
      </c>
      <c r="D902" s="11" t="n">
        <f aca="false">IF(B902="mass",INDEX(Library!$L$5:$L$34,$U$897)/1000,0)</f>
        <v>0</v>
      </c>
      <c r="E902" s="7" t="n">
        <f aca="false">IF(B902="mass",INDEX(Materials!$B$5:$B$28,MATCH(C902,Materials!$A$5:$A$28,0)),0)</f>
        <v>0</v>
      </c>
      <c r="F902" s="7" t="n">
        <f aca="false">IF(B902="mass",INDEX(Materials!$C$5:$C$28,MATCH(C902,Materials!$A$5:$A$28,0)),0)</f>
        <v>0</v>
      </c>
      <c r="G902" s="7" t="n">
        <f aca="false">IF(B902="mass",INDEX(Materials!$D$5:$D$28,MATCH(C902,Materials!$A$5:$A$28,0)),0)</f>
        <v>0</v>
      </c>
      <c r="H902" s="10" t="n">
        <f aca="false">IF(B902="res",INDEX(Library!$L$5:$L$34,$U$897),0)</f>
        <v>0</v>
      </c>
      <c r="I902" s="11" t="n">
        <f aca="false">IF(B902="mass",SQRT(E902*($B$2*3600)/(PI()*F902*G902)),0)</f>
        <v>0</v>
      </c>
      <c r="J902" s="10" t="n">
        <f aca="false">IF(B902="mass",D902/I902,0)</f>
        <v>0</v>
      </c>
      <c r="K902" s="7" t="str">
        <f aca="false">IF(B902="mass",COMPLEX(COSH(J902)*COS(J902),SINH(J902)*SIN(J902)),COMPLEX(1,0))</f>
        <v>1</v>
      </c>
      <c r="L902" s="7" t="str">
        <f aca="false">IF(B902="mass",COMPLEX(-I902/(2*E902)*(SINH(J902)*COS(J902)+COSH(J902)*SIN(J902)),-I902/(2*E902)*(COSH(J902)*SIN(J902)-SINH(J902)*COS(J902))),COMPLEX(-H902,0))</f>
        <v>-0</v>
      </c>
      <c r="M902" s="7" t="str">
        <f aca="false">IF(B902="mass",COMPLEX(-E902/I902*(SINH(J902)*COS(J902)-COSH(J902)*SIN(J902)),-E902/I902*(SINH(J902)*COS(J902)+COSH(J902)*SIN(J902))),COMPLEX(0,0))</f>
        <v>0</v>
      </c>
      <c r="N902" s="7" t="str">
        <f aca="false">K902</f>
        <v>1</v>
      </c>
      <c r="O902" s="7" t="str">
        <f aca="false">IMSUM(IMPRODUCT(K902,O901),IMPRODUCT(L902,Q901))</f>
        <v>-5.48287521722105+6.53734582309133i</v>
      </c>
      <c r="P902" s="7" t="str">
        <f aca="false">IMSUM(IMPRODUCT(K902,P901),IMPRODUCT(L902,R901))</f>
        <v>-5.49138210987712-8.85487513398465i</v>
      </c>
      <c r="Q902" s="7" t="str">
        <f aca="false">IMSUM(IMPRODUCT(M902,O901),IMPRODUCT(N902,Q901))</f>
        <v>2.30029767993336-0.234881699294469i</v>
      </c>
      <c r="R902" s="7" t="str">
        <f aca="false">IMSUM(IMPRODUCT(M902,P901),IMPRODUCT(N902,R901))</f>
        <v>-0.680599648131927+2.66825483324851i</v>
      </c>
      <c r="S902" s="10" t="n">
        <f aca="false">IF(B902="mass",D902/E902,H902)</f>
        <v>0</v>
      </c>
      <c r="T902" s="12" t="n">
        <f aca="false">IF(B902="mass",F902*G902*D902,0)</f>
        <v>0</v>
      </c>
    </row>
    <row r="903" customFormat="false" ht="15" hidden="false" customHeight="false" outlineLevel="0" collapsed="false">
      <c r="A903" s="7" t="s">
        <v>46</v>
      </c>
      <c r="B903" s="7" t="str">
        <f aca="false">IF(C903="","none",IF(C903="Cavity","res","mass"))</f>
        <v>none</v>
      </c>
      <c r="C903" s="7" t="str">
        <f aca="false">IF(INDEX(Library!$M$5:$M$34,$U$897)="","",INDEX(Library!$M$5:$M$34,$U$897))</f>
        <v/>
      </c>
      <c r="D903" s="11" t="n">
        <f aca="false">IF(B903="mass",INDEX(Library!$N$5:$N$34,$U$897)/1000,0)</f>
        <v>0</v>
      </c>
      <c r="E903" s="7" t="n">
        <f aca="false">IF(B903="mass",INDEX(Materials!$B$5:$B$28,MATCH(C903,Materials!$A$5:$A$28,0)),0)</f>
        <v>0</v>
      </c>
      <c r="F903" s="7" t="n">
        <f aca="false">IF(B903="mass",INDEX(Materials!$C$5:$C$28,MATCH(C903,Materials!$A$5:$A$28,0)),0)</f>
        <v>0</v>
      </c>
      <c r="G903" s="7" t="n">
        <f aca="false">IF(B903="mass",INDEX(Materials!$D$5:$D$28,MATCH(C903,Materials!$A$5:$A$28,0)),0)</f>
        <v>0</v>
      </c>
      <c r="H903" s="10" t="n">
        <f aca="false">IF(B903="res",INDEX(Library!$N$5:$N$34,$U$897),0)</f>
        <v>0</v>
      </c>
      <c r="I903" s="11" t="n">
        <f aca="false">IF(B903="mass",SQRT(E903*($B$2*3600)/(PI()*F903*G903)),0)</f>
        <v>0</v>
      </c>
      <c r="J903" s="10" t="n">
        <f aca="false">IF(B903="mass",D903/I903,0)</f>
        <v>0</v>
      </c>
      <c r="K903" s="7" t="str">
        <f aca="false">IF(B903="mass",COMPLEX(COSH(J903)*COS(J903),SINH(J903)*SIN(J903)),COMPLEX(1,0))</f>
        <v>1</v>
      </c>
      <c r="L903" s="7" t="str">
        <f aca="false">IF(B903="mass",COMPLEX(-I903/(2*E903)*(SINH(J903)*COS(J903)+COSH(J903)*SIN(J903)),-I903/(2*E903)*(COSH(J903)*SIN(J903)-SINH(J903)*COS(J903))),COMPLEX(-H903,0))</f>
        <v>-0</v>
      </c>
      <c r="M903" s="7" t="str">
        <f aca="false">IF(B903="mass",COMPLEX(-E903/I903*(SINH(J903)*COS(J903)-COSH(J903)*SIN(J903)),-E903/I903*(SINH(J903)*COS(J903)+COSH(J903)*SIN(J903))),COMPLEX(0,0))</f>
        <v>0</v>
      </c>
      <c r="N903" s="7" t="str">
        <f aca="false">K903</f>
        <v>1</v>
      </c>
      <c r="O903" s="7" t="str">
        <f aca="false">IMSUM(IMPRODUCT(K903,O902),IMPRODUCT(L903,Q902))</f>
        <v>-5.48287521722105+6.53734582309133i</v>
      </c>
      <c r="P903" s="7" t="str">
        <f aca="false">IMSUM(IMPRODUCT(K903,P902),IMPRODUCT(L903,R902))</f>
        <v>-5.49138210987712-8.85487513398465i</v>
      </c>
      <c r="Q903" s="7" t="str">
        <f aca="false">IMSUM(IMPRODUCT(M903,O902),IMPRODUCT(N903,Q902))</f>
        <v>2.30029767993336-0.234881699294469i</v>
      </c>
      <c r="R903" s="7" t="str">
        <f aca="false">IMSUM(IMPRODUCT(M903,P902),IMPRODUCT(N903,R902))</f>
        <v>-0.680599648131927+2.66825483324851i</v>
      </c>
      <c r="S903" s="10" t="n">
        <f aca="false">IF(B903="mass",D903/E903,H903)</f>
        <v>0</v>
      </c>
      <c r="T903" s="12" t="n">
        <f aca="false">IF(B903="mass",F903*G903*D903,0)</f>
        <v>0</v>
      </c>
    </row>
    <row r="904" customFormat="false" ht="15" hidden="false" customHeight="false" outlineLevel="0" collapsed="false">
      <c r="A904" s="7" t="s">
        <v>47</v>
      </c>
      <c r="B904" s="7" t="str">
        <f aca="false">IF(C904="","none",IF(C904="Cavity","res","mass"))</f>
        <v>none</v>
      </c>
      <c r="C904" s="7" t="str">
        <f aca="false">IF(INDEX(Library!$O$5:$O$34,$U$897)="","",INDEX(Library!$O$5:$O$34,$U$897))</f>
        <v/>
      </c>
      <c r="D904" s="11" t="n">
        <f aca="false">IF(B904="mass",INDEX(Library!$P$5:$P$34,$U$897)/1000,0)</f>
        <v>0</v>
      </c>
      <c r="E904" s="7" t="n">
        <f aca="false">IF(B904="mass",INDEX(Materials!$B$5:$B$28,MATCH(C904,Materials!$A$5:$A$28,0)),0)</f>
        <v>0</v>
      </c>
      <c r="F904" s="7" t="n">
        <f aca="false">IF(B904="mass",INDEX(Materials!$C$5:$C$28,MATCH(C904,Materials!$A$5:$A$28,0)),0)</f>
        <v>0</v>
      </c>
      <c r="G904" s="7" t="n">
        <f aca="false">IF(B904="mass",INDEX(Materials!$D$5:$D$28,MATCH(C904,Materials!$A$5:$A$28,0)),0)</f>
        <v>0</v>
      </c>
      <c r="H904" s="10" t="n">
        <f aca="false">IF(B904="res",INDEX(Library!$P$5:$P$34,$U$897),0)</f>
        <v>0</v>
      </c>
      <c r="I904" s="11" t="n">
        <f aca="false">IF(B904="mass",SQRT(E904*($B$2*3600)/(PI()*F904*G904)),0)</f>
        <v>0</v>
      </c>
      <c r="J904" s="10" t="n">
        <f aca="false">IF(B904="mass",D904/I904,0)</f>
        <v>0</v>
      </c>
      <c r="K904" s="7" t="str">
        <f aca="false">IF(B904="mass",COMPLEX(COSH(J904)*COS(J904),SINH(J904)*SIN(J904)),COMPLEX(1,0))</f>
        <v>1</v>
      </c>
      <c r="L904" s="7" t="str">
        <f aca="false">IF(B904="mass",COMPLEX(-I904/(2*E904)*(SINH(J904)*COS(J904)+COSH(J904)*SIN(J904)),-I904/(2*E904)*(COSH(J904)*SIN(J904)-SINH(J904)*COS(J904))),COMPLEX(-H904,0))</f>
        <v>-0</v>
      </c>
      <c r="M904" s="7" t="str">
        <f aca="false">IF(B904="mass",COMPLEX(-E904/I904*(SINH(J904)*COS(J904)-COSH(J904)*SIN(J904)),-E904/I904*(SINH(J904)*COS(J904)+COSH(J904)*SIN(J904))),COMPLEX(0,0))</f>
        <v>0</v>
      </c>
      <c r="N904" s="7" t="str">
        <f aca="false">K904</f>
        <v>1</v>
      </c>
      <c r="O904" s="7" t="str">
        <f aca="false">IMSUM(IMPRODUCT(K904,O903),IMPRODUCT(L904,Q903))</f>
        <v>-5.48287521722105+6.53734582309133i</v>
      </c>
      <c r="P904" s="7" t="str">
        <f aca="false">IMSUM(IMPRODUCT(K904,P903),IMPRODUCT(L904,R903))</f>
        <v>-5.49138210987712-8.85487513398465i</v>
      </c>
      <c r="Q904" s="7" t="str">
        <f aca="false">IMSUM(IMPRODUCT(M904,O903),IMPRODUCT(N904,Q903))</f>
        <v>2.30029767993336-0.234881699294469i</v>
      </c>
      <c r="R904" s="7" t="str">
        <f aca="false">IMSUM(IMPRODUCT(M904,P903),IMPRODUCT(N904,R903))</f>
        <v>-0.680599648131927+2.66825483324851i</v>
      </c>
      <c r="S904" s="10" t="n">
        <f aca="false">IF(B904="mass",D904/E904,H904)</f>
        <v>0</v>
      </c>
      <c r="T904" s="12" t="n">
        <f aca="false">IF(B904="mass",F904*G904*D904,0)</f>
        <v>0</v>
      </c>
    </row>
    <row r="905" customFormat="false" ht="15" hidden="false" customHeight="false" outlineLevel="0" collapsed="false">
      <c r="A905" s="7" t="s">
        <v>48</v>
      </c>
      <c r="B905" s="7" t="str">
        <f aca="false">IF(C905="","none",IF(C905="Cavity","res","mass"))</f>
        <v>none</v>
      </c>
      <c r="C905" s="7" t="str">
        <f aca="false">IF(INDEX(Library!$Q$5:$Q$34,$U$897)="","",INDEX(Library!$Q$5:$Q$34,$U$897))</f>
        <v/>
      </c>
      <c r="D905" s="11" t="n">
        <f aca="false">IF(B905="mass",INDEX(Library!$R$5:$R$34,$U$897)/1000,0)</f>
        <v>0</v>
      </c>
      <c r="E905" s="7" t="n">
        <f aca="false">IF(B905="mass",INDEX(Materials!$B$5:$B$28,MATCH(C905,Materials!$A$5:$A$28,0)),0)</f>
        <v>0</v>
      </c>
      <c r="F905" s="7" t="n">
        <f aca="false">IF(B905="mass",INDEX(Materials!$C$5:$C$28,MATCH(C905,Materials!$A$5:$A$28,0)),0)</f>
        <v>0</v>
      </c>
      <c r="G905" s="7" t="n">
        <f aca="false">IF(B905="mass",INDEX(Materials!$D$5:$D$28,MATCH(C905,Materials!$A$5:$A$28,0)),0)</f>
        <v>0</v>
      </c>
      <c r="H905" s="10" t="n">
        <f aca="false">IF(B905="res",INDEX(Library!$R$5:$R$34,$U$897),0)</f>
        <v>0</v>
      </c>
      <c r="I905" s="11" t="n">
        <f aca="false">IF(B905="mass",SQRT(E905*($B$2*3600)/(PI()*F905*G905)),0)</f>
        <v>0</v>
      </c>
      <c r="J905" s="10" t="n">
        <f aca="false">IF(B905="mass",D905/I905,0)</f>
        <v>0</v>
      </c>
      <c r="K905" s="7" t="str">
        <f aca="false">IF(B905="mass",COMPLEX(COSH(J905)*COS(J905),SINH(J905)*SIN(J905)),COMPLEX(1,0))</f>
        <v>1</v>
      </c>
      <c r="L905" s="7" t="str">
        <f aca="false">IF(B905="mass",COMPLEX(-I905/(2*E905)*(SINH(J905)*COS(J905)+COSH(J905)*SIN(J905)),-I905/(2*E905)*(COSH(J905)*SIN(J905)-SINH(J905)*COS(J905))),COMPLEX(-H905,0))</f>
        <v>-0</v>
      </c>
      <c r="M905" s="7" t="str">
        <f aca="false">IF(B905="mass",COMPLEX(-E905/I905*(SINH(J905)*COS(J905)-COSH(J905)*SIN(J905)),-E905/I905*(SINH(J905)*COS(J905)+COSH(J905)*SIN(J905))),COMPLEX(0,0))</f>
        <v>0</v>
      </c>
      <c r="N905" s="7" t="str">
        <f aca="false">K905</f>
        <v>1</v>
      </c>
      <c r="O905" s="7" t="str">
        <f aca="false">IMSUM(IMPRODUCT(K905,O904),IMPRODUCT(L905,Q904))</f>
        <v>-5.48287521722105+6.53734582309133i</v>
      </c>
      <c r="P905" s="7" t="str">
        <f aca="false">IMSUM(IMPRODUCT(K905,P904),IMPRODUCT(L905,R904))</f>
        <v>-5.49138210987712-8.85487513398465i</v>
      </c>
      <c r="Q905" s="7" t="str">
        <f aca="false">IMSUM(IMPRODUCT(M905,O904),IMPRODUCT(N905,Q904))</f>
        <v>2.30029767993336-0.234881699294469i</v>
      </c>
      <c r="R905" s="7" t="str">
        <f aca="false">IMSUM(IMPRODUCT(M905,P904),IMPRODUCT(N905,R904))</f>
        <v>-0.680599648131927+2.66825483324851i</v>
      </c>
      <c r="S905" s="10" t="n">
        <f aca="false">IF(B905="mass",D905/E905,H905)</f>
        <v>0</v>
      </c>
      <c r="T905" s="12" t="n">
        <f aca="false">IF(B905="mass",F905*G905*D905,0)</f>
        <v>0</v>
      </c>
    </row>
    <row r="906" customFormat="false" ht="15" hidden="false" customHeight="false" outlineLevel="0" collapsed="false">
      <c r="A906" s="7" t="s">
        <v>49</v>
      </c>
      <c r="B906" s="7" t="str">
        <f aca="false">IF(C906="","none",IF(C906="Cavity","res","mass"))</f>
        <v>none</v>
      </c>
      <c r="C906" s="7" t="str">
        <f aca="false">IF(INDEX(Library!$S$5:$S$34,$U$897)="","",INDEX(Library!$S$5:$S$34,$U$897))</f>
        <v/>
      </c>
      <c r="D906" s="11" t="n">
        <f aca="false">IF(B906="mass",INDEX(Library!$T$5:$T$34,$U$897)/1000,0)</f>
        <v>0</v>
      </c>
      <c r="E906" s="7" t="n">
        <f aca="false">IF(B906="mass",INDEX(Materials!$B$5:$B$28,MATCH(C906,Materials!$A$5:$A$28,0)),0)</f>
        <v>0</v>
      </c>
      <c r="F906" s="7" t="n">
        <f aca="false">IF(B906="mass",INDEX(Materials!$C$5:$C$28,MATCH(C906,Materials!$A$5:$A$28,0)),0)</f>
        <v>0</v>
      </c>
      <c r="G906" s="7" t="n">
        <f aca="false">IF(B906="mass",INDEX(Materials!$D$5:$D$28,MATCH(C906,Materials!$A$5:$A$28,0)),0)</f>
        <v>0</v>
      </c>
      <c r="H906" s="10" t="n">
        <f aca="false">IF(B906="res",INDEX(Library!$T$5:$T$34,$U$897),0)</f>
        <v>0</v>
      </c>
      <c r="I906" s="11" t="n">
        <f aca="false">IF(B906="mass",SQRT(E906*($B$2*3600)/(PI()*F906*G906)),0)</f>
        <v>0</v>
      </c>
      <c r="J906" s="10" t="n">
        <f aca="false">IF(B906="mass",D906/I906,0)</f>
        <v>0</v>
      </c>
      <c r="K906" s="7" t="str">
        <f aca="false">IF(B906="mass",COMPLEX(COSH(J906)*COS(J906),SINH(J906)*SIN(J906)),COMPLEX(1,0))</f>
        <v>1</v>
      </c>
      <c r="L906" s="7" t="str">
        <f aca="false">IF(B906="mass",COMPLEX(-I906/(2*E906)*(SINH(J906)*COS(J906)+COSH(J906)*SIN(J906)),-I906/(2*E906)*(COSH(J906)*SIN(J906)-SINH(J906)*COS(J906))),COMPLEX(-H906,0))</f>
        <v>-0</v>
      </c>
      <c r="M906" s="7" t="str">
        <f aca="false">IF(B906="mass",COMPLEX(-E906/I906*(SINH(J906)*COS(J906)-COSH(J906)*SIN(J906)),-E906/I906*(SINH(J906)*COS(J906)+COSH(J906)*SIN(J906))),COMPLEX(0,0))</f>
        <v>0</v>
      </c>
      <c r="N906" s="7" t="str">
        <f aca="false">K906</f>
        <v>1</v>
      </c>
      <c r="O906" s="7" t="str">
        <f aca="false">IMSUM(IMPRODUCT(K906,O905),IMPRODUCT(L906,Q905))</f>
        <v>-5.48287521722105+6.53734582309133i</v>
      </c>
      <c r="P906" s="7" t="str">
        <f aca="false">IMSUM(IMPRODUCT(K906,P905),IMPRODUCT(L906,R905))</f>
        <v>-5.49138210987712-8.85487513398465i</v>
      </c>
      <c r="Q906" s="7" t="str">
        <f aca="false">IMSUM(IMPRODUCT(M906,O905),IMPRODUCT(N906,Q905))</f>
        <v>2.30029767993336-0.234881699294469i</v>
      </c>
      <c r="R906" s="7" t="str">
        <f aca="false">IMSUM(IMPRODUCT(M906,P905),IMPRODUCT(N906,R905))</f>
        <v>-0.680599648131927+2.66825483324851i</v>
      </c>
      <c r="S906" s="10" t="n">
        <f aca="false">IF(B906="mass",D906/E906,H906)</f>
        <v>0</v>
      </c>
      <c r="T906" s="12" t="n">
        <f aca="false">IF(B906="mass",F906*G906*D906,0)</f>
        <v>0</v>
      </c>
    </row>
    <row r="907" customFormat="false" ht="15" hidden="false" customHeight="false" outlineLevel="0" collapsed="false">
      <c r="A907" s="7" t="s">
        <v>50</v>
      </c>
      <c r="B907" s="7" t="str">
        <f aca="false">IF(C907="","none",IF(C907="Cavity","res","mass"))</f>
        <v>none</v>
      </c>
      <c r="C907" s="7" t="str">
        <f aca="false">IF(INDEX(Library!$U$5:$U$34,$U$897)="","",INDEX(Library!$U$5:$U$34,$U$897))</f>
        <v/>
      </c>
      <c r="D907" s="11" t="n">
        <f aca="false">IF(B907="mass",INDEX(Library!$V$5:$V$34,$U$897)/1000,0)</f>
        <v>0</v>
      </c>
      <c r="E907" s="7" t="n">
        <f aca="false">IF(B907="mass",INDEX(Materials!$B$5:$B$28,MATCH(C907,Materials!$A$5:$A$28,0)),0)</f>
        <v>0</v>
      </c>
      <c r="F907" s="7" t="n">
        <f aca="false">IF(B907="mass",INDEX(Materials!$C$5:$C$28,MATCH(C907,Materials!$A$5:$A$28,0)),0)</f>
        <v>0</v>
      </c>
      <c r="G907" s="7" t="n">
        <f aca="false">IF(B907="mass",INDEX(Materials!$D$5:$D$28,MATCH(C907,Materials!$A$5:$A$28,0)),0)</f>
        <v>0</v>
      </c>
      <c r="H907" s="10" t="n">
        <f aca="false">IF(B907="res",INDEX(Library!$V$5:$V$34,$U$897),0)</f>
        <v>0</v>
      </c>
      <c r="I907" s="11" t="n">
        <f aca="false">IF(B907="mass",SQRT(E907*($B$2*3600)/(PI()*F907*G907)),0)</f>
        <v>0</v>
      </c>
      <c r="J907" s="10" t="n">
        <f aca="false">IF(B907="mass",D907/I907,0)</f>
        <v>0</v>
      </c>
      <c r="K907" s="7" t="str">
        <f aca="false">IF(B907="mass",COMPLEX(COSH(J907)*COS(J907),SINH(J907)*SIN(J907)),COMPLEX(1,0))</f>
        <v>1</v>
      </c>
      <c r="L907" s="7" t="str">
        <f aca="false">IF(B907="mass",COMPLEX(-I907/(2*E907)*(SINH(J907)*COS(J907)+COSH(J907)*SIN(J907)),-I907/(2*E907)*(COSH(J907)*SIN(J907)-SINH(J907)*COS(J907))),COMPLEX(-H907,0))</f>
        <v>-0</v>
      </c>
      <c r="M907" s="7" t="str">
        <f aca="false">IF(B907="mass",COMPLEX(-E907/I907*(SINH(J907)*COS(J907)-COSH(J907)*SIN(J907)),-E907/I907*(SINH(J907)*COS(J907)+COSH(J907)*SIN(J907))),COMPLEX(0,0))</f>
        <v>0</v>
      </c>
      <c r="N907" s="7" t="str">
        <f aca="false">K907</f>
        <v>1</v>
      </c>
      <c r="O907" s="7" t="str">
        <f aca="false">IMSUM(IMPRODUCT(K907,O906),IMPRODUCT(L907,Q906))</f>
        <v>-5.48287521722105+6.53734582309133i</v>
      </c>
      <c r="P907" s="7" t="str">
        <f aca="false">IMSUM(IMPRODUCT(K907,P906),IMPRODUCT(L907,R906))</f>
        <v>-5.49138210987712-8.85487513398465i</v>
      </c>
      <c r="Q907" s="7" t="str">
        <f aca="false">IMSUM(IMPRODUCT(M907,O906),IMPRODUCT(N907,Q906))</f>
        <v>2.30029767993336-0.234881699294469i</v>
      </c>
      <c r="R907" s="7" t="str">
        <f aca="false">IMSUM(IMPRODUCT(M907,P906),IMPRODUCT(N907,R906))</f>
        <v>-0.680599648131927+2.66825483324851i</v>
      </c>
      <c r="S907" s="10" t="n">
        <f aca="false">IF(B907="mass",D907/E907,H907)</f>
        <v>0</v>
      </c>
      <c r="T907" s="12" t="n">
        <f aca="false">IF(B907="mass",F907*G907*D907,0)</f>
        <v>0</v>
      </c>
    </row>
    <row r="908" customFormat="false" ht="15" hidden="false" customHeight="false" outlineLevel="0" collapsed="false">
      <c r="A908" s="7" t="s">
        <v>51</v>
      </c>
      <c r="B908" s="7" t="str">
        <f aca="false">IF($W$897="ground","mass",IF($W$897="adiabatic","res","none"))</f>
        <v>none</v>
      </c>
      <c r="C908" s="7" t="str">
        <f aca="false">IF($W$897="ground","clay soil","")</f>
        <v/>
      </c>
      <c r="D908" s="11" t="n">
        <f aca="false">IF(B908="mass",1,0)</f>
        <v>0</v>
      </c>
      <c r="E908" s="7" t="n">
        <f aca="false">IF(B908="mass",INDEX(Materials!$B$5:$B$28,MATCH(C908,Materials!$A$5:$A$28,0)),0)</f>
        <v>0</v>
      </c>
      <c r="F908" s="7" t="n">
        <f aca="false">IF(B908="mass",INDEX(Materials!$C$5:$C$28,MATCH(C908,Materials!$A$5:$A$28,0)),0)</f>
        <v>0</v>
      </c>
      <c r="G908" s="7" t="n">
        <f aca="false">IF(B908="mass",INDEX(Materials!$D$5:$D$28,MATCH(C908,Materials!$A$5:$A$28,0)),0)</f>
        <v>0</v>
      </c>
      <c r="H908" s="12" t="n">
        <f aca="false">IF(B908="res",1000000,0)</f>
        <v>0</v>
      </c>
      <c r="I908" s="11" t="n">
        <f aca="false">IF(B908="mass",SQRT(E908*($B$2*3600)/(PI()*F908*G908)),0)</f>
        <v>0</v>
      </c>
      <c r="J908" s="10" t="n">
        <f aca="false">IF(B908="mass",D908/I908,0)</f>
        <v>0</v>
      </c>
      <c r="K908" s="7" t="str">
        <f aca="false">IF(B908="mass",COMPLEX(COSH(J908)*COS(J908),SINH(J908)*SIN(J908)),COMPLEX(1,0))</f>
        <v>1</v>
      </c>
      <c r="L908" s="7" t="str">
        <f aca="false">IF(B908="mass",COMPLEX(-I908/(2*E908)*(SINH(J908)*COS(J908)+COSH(J908)*SIN(J908)),-I908/(2*E908)*(COSH(J908)*SIN(J908)-SINH(J908)*COS(J908))),COMPLEX(-H908,0))</f>
        <v>-0</v>
      </c>
      <c r="M908" s="7" t="str">
        <f aca="false">IF(B908="mass",COMPLEX(-E908/I908*(SINH(J908)*COS(J908)-COSH(J908)*SIN(J908)),-E908/I908*(SINH(J908)*COS(J908)+COSH(J908)*SIN(J908))),COMPLEX(0,0))</f>
        <v>0</v>
      </c>
      <c r="N908" s="7" t="str">
        <f aca="false">K908</f>
        <v>1</v>
      </c>
      <c r="O908" s="7" t="str">
        <f aca="false">IMSUM(IMPRODUCT(K908,O907),IMPRODUCT(L908,Q907))</f>
        <v>-5.48287521722105+6.53734582309133i</v>
      </c>
      <c r="P908" s="7" t="str">
        <f aca="false">IMSUM(IMPRODUCT(K908,P907),IMPRODUCT(L908,R907))</f>
        <v>-5.49138210987712-8.85487513398465i</v>
      </c>
      <c r="Q908" s="7" t="str">
        <f aca="false">IMSUM(IMPRODUCT(M908,O907),IMPRODUCT(N908,Q907))</f>
        <v>2.30029767993336-0.234881699294469i</v>
      </c>
      <c r="R908" s="7" t="str">
        <f aca="false">IMSUM(IMPRODUCT(M908,P907),IMPRODUCT(N908,R907))</f>
        <v>-0.680599648131927+2.66825483324851i</v>
      </c>
      <c r="S908" s="10" t="n">
        <f aca="false">IF(B908="mass",D908/E908,H908)</f>
        <v>0</v>
      </c>
      <c r="T908" s="12" t="n">
        <f aca="false">IF(B908="mass",F908*G908*D908,0)</f>
        <v>0</v>
      </c>
    </row>
    <row r="909" customFormat="false" ht="15" hidden="false" customHeight="false" outlineLevel="0" collapsed="false">
      <c r="A909" s="7" t="s">
        <v>52</v>
      </c>
      <c r="B909" s="7" t="s">
        <v>42</v>
      </c>
      <c r="H909" s="10" t="n">
        <f aca="false">IF($W$897="ext",0.04,IF($W$897="room",$Y$897,0))</f>
        <v>0.04</v>
      </c>
      <c r="I909" s="11" t="n">
        <f aca="false">IF(B909="mass",SQRT(E909*($B$2*3600)/(PI()*F909*G909)),0)</f>
        <v>0</v>
      </c>
      <c r="J909" s="10" t="n">
        <f aca="false">IF(B909="mass",D909/I909,0)</f>
        <v>0</v>
      </c>
      <c r="K909" s="7" t="str">
        <f aca="false">IF(B909="mass",COMPLEX(COSH(J909)*COS(J909),SINH(J909)*SIN(J909)),COMPLEX(1,0))</f>
        <v>1</v>
      </c>
      <c r="L909" s="7" t="str">
        <f aca="false">IF(B909="mass",COMPLEX(-I909/(2*E909)*(SINH(J909)*COS(J909)+COSH(J909)*SIN(J909)),-I909/(2*E909)*(COSH(J909)*SIN(J909)-SINH(J909)*COS(J909))),COMPLEX(-H909,0))</f>
        <v>-0.04</v>
      </c>
      <c r="M909" s="7" t="str">
        <f aca="false">IF(B909="mass",COMPLEX(-E909/I909*(SINH(J909)*COS(J909)-COSH(J909)*SIN(J909)),-E909/I909*(SINH(J909)*COS(J909)+COSH(J909)*SIN(J909))),COMPLEX(0,0))</f>
        <v>0</v>
      </c>
      <c r="N909" s="7" t="str">
        <f aca="false">K909</f>
        <v>1</v>
      </c>
      <c r="O909" s="7" t="str">
        <f aca="false">IMSUM(IMPRODUCT(K909,O908),IMPRODUCT(L909,Q908))</f>
        <v>-5.57488712441838+6.54674109106311i</v>
      </c>
      <c r="P909" s="7" t="str">
        <f aca="false">IMSUM(IMPRODUCT(K909,P908),IMPRODUCT(L909,R908))</f>
        <v>-5.46415812395184-8.96160532731459i</v>
      </c>
      <c r="Q909" s="7" t="str">
        <f aca="false">IMSUM(IMPRODUCT(M909,O908),IMPRODUCT(N909,Q908))</f>
        <v>2.30029767993336-0.234881699294469i</v>
      </c>
      <c r="R909" s="7" t="str">
        <f aca="false">IMSUM(IMPRODUCT(M909,P908),IMPRODUCT(N909,R908))</f>
        <v>-0.680599648131927+2.66825483324851i</v>
      </c>
      <c r="S909" s="10" t="n">
        <f aca="false">IF(B909="mass",D909/E909,H909)</f>
        <v>0.04</v>
      </c>
      <c r="T909" s="12" t="n">
        <f aca="false">IF(B909="mass",F909*G909*D909,0)</f>
        <v>0</v>
      </c>
    </row>
    <row r="910" customFormat="false" ht="15" hidden="false" customHeight="false" outlineLevel="0" collapsed="false">
      <c r="A910" s="9" t="s">
        <v>53</v>
      </c>
      <c r="B910" s="13" t="n">
        <f aca="false">IF(OR($W$897="ext",$W$897="ground"),1/SUM(S899:S909),"–")</f>
        <v>0.114012704272762</v>
      </c>
      <c r="C910" s="9" t="s">
        <v>54</v>
      </c>
      <c r="D910" s="13" t="n">
        <f aca="false">IMABS(IMDIV(IMPRODUCT(O909,COMPLEX(-1,0)),P909))</f>
        <v>0.819239327527862</v>
      </c>
      <c r="E910" s="9" t="s">
        <v>55</v>
      </c>
      <c r="F910" s="14" t="n">
        <f aca="false">IMARGUMENT(IMDIV(IMPRODUCT(O909,COMPLEX(-1,0)),P909))*$B$2/(2*PI())</f>
        <v>4.78586751033912</v>
      </c>
      <c r="G910" s="9" t="s">
        <v>56</v>
      </c>
      <c r="H910" s="13" t="n">
        <f aca="false">IF($W$897="ext",IMABS(IMDIV(COMPLEX(-1,0),P909))*SUM(S899:S909),"–")</f>
        <v>0.835641913525636</v>
      </c>
      <c r="I910" s="9" t="s">
        <v>57</v>
      </c>
      <c r="J910" s="14" t="n">
        <f aca="false">IF($W$897="ext",MOD(-IMARGUMENT(IMDIV(COMPLEX(-1,0),P909))*$B$2/(2*PI()),24),"–")</f>
        <v>3.90853945592282</v>
      </c>
      <c r="K910" s="9" t="s">
        <v>58</v>
      </c>
      <c r="L910" s="15" t="n">
        <f aca="false">($B$2*3600)/(2*PI())*IMABS(IMDIV(IMSUB(O909,COMPLEX(1,0)),P909))/1000</f>
        <v>12.1557305729396</v>
      </c>
      <c r="M910" s="9" t="s">
        <v>59</v>
      </c>
      <c r="N910" s="15" t="n">
        <f aca="false">SUM(T900:T907)/1000</f>
        <v>18.02</v>
      </c>
      <c r="O910" s="9" t="s">
        <v>60</v>
      </c>
      <c r="P910" s="16" t="n">
        <f aca="false">SUM(S900:S907)</f>
        <v>8.63095238095238</v>
      </c>
    </row>
    <row r="912" customFormat="false" ht="15" hidden="false" customHeight="false" outlineLevel="0" collapsed="false">
      <c r="A912" s="4" t="s">
        <v>155</v>
      </c>
    </row>
    <row r="913" customFormat="false" ht="15" hidden="false" customHeight="false" outlineLevel="0" collapsed="false">
      <c r="A913" s="9"/>
      <c r="B913" s="9" t="s">
        <v>62</v>
      </c>
      <c r="C913" s="9" t="s">
        <v>63</v>
      </c>
      <c r="D913" s="9"/>
      <c r="E913" s="9"/>
      <c r="F913" s="9"/>
      <c r="G913" s="9"/>
      <c r="H913" s="9"/>
      <c r="I913" s="9"/>
      <c r="J913" s="9"/>
      <c r="K913" s="9" t="s">
        <v>32</v>
      </c>
      <c r="L913" s="9" t="s">
        <v>33</v>
      </c>
      <c r="M913" s="9" t="s">
        <v>34</v>
      </c>
      <c r="N913" s="9" t="s">
        <v>35</v>
      </c>
      <c r="O913" s="9" t="s">
        <v>36</v>
      </c>
      <c r="P913" s="9" t="s">
        <v>37</v>
      </c>
      <c r="Q913" s="9" t="s">
        <v>38</v>
      </c>
      <c r="R913" s="9" t="s">
        <v>39</v>
      </c>
    </row>
    <row r="914" customFormat="false" ht="15" hidden="false" customHeight="false" outlineLevel="0" collapsed="false">
      <c r="A914" s="7" t="s">
        <v>22</v>
      </c>
      <c r="B914" s="7" t="s">
        <v>42</v>
      </c>
      <c r="C914" s="10" t="n">
        <f aca="false">$Y$897</f>
        <v>0.1</v>
      </c>
      <c r="K914" s="7" t="str">
        <f aca="false">COMPLEX(1,0)</f>
        <v>1</v>
      </c>
      <c r="L914" s="7" t="str">
        <f aca="false">COMPLEX(-C914,0)</f>
        <v>-0.1</v>
      </c>
      <c r="M914" s="7" t="str">
        <f aca="false">COMPLEX(0,0)</f>
        <v>0</v>
      </c>
      <c r="N914" s="7" t="str">
        <f aca="false">COMPLEX(1,0)</f>
        <v>1</v>
      </c>
      <c r="O914" s="7" t="str">
        <f aca="false">K914</f>
        <v>1</v>
      </c>
      <c r="P914" s="7" t="str">
        <f aca="false">L914</f>
        <v>-0.1</v>
      </c>
      <c r="Q914" s="7" t="str">
        <f aca="false">M914</f>
        <v>0</v>
      </c>
      <c r="R914" s="7" t="str">
        <f aca="false">N914</f>
        <v>1</v>
      </c>
    </row>
    <row r="915" customFormat="false" ht="15" hidden="false" customHeight="false" outlineLevel="0" collapsed="false">
      <c r="A915" s="7" t="s">
        <v>64</v>
      </c>
      <c r="B915" s="7" t="s">
        <v>65</v>
      </c>
      <c r="C915" s="10" t="n">
        <f aca="false">INDEX(Classes!$B$5:$F$9,MATCH(Engine!$C$896,Classes!$A$5:$A$9,0),5)*(N910*1000)</f>
        <v>2252.5</v>
      </c>
      <c r="K915" s="7" t="str">
        <f aca="false">COMPLEX(1,0)</f>
        <v>1</v>
      </c>
      <c r="L915" s="7" t="str">
        <f aca="false">COMPLEX(0,0)</f>
        <v>0</v>
      </c>
      <c r="M915" s="7" t="str">
        <f aca="false">COMPLEX(0,-(2*PI()/($B$2*3600))*C915)</f>
        <v>-0.163806422504884i</v>
      </c>
      <c r="N915" s="7" t="str">
        <f aca="false">COMPLEX(1,0)</f>
        <v>1</v>
      </c>
      <c r="O915" s="7" t="str">
        <f aca="false">IMSUM(IMPRODUCT(K915,O914),IMPRODUCT(L915,Q914))</f>
        <v>1</v>
      </c>
      <c r="P915" s="7" t="str">
        <f aca="false">IMSUM(IMPRODUCT(K915,P914),IMPRODUCT(L915,R914))</f>
        <v>-0.1</v>
      </c>
      <c r="Q915" s="7" t="str">
        <f aca="false">IMSUM(IMPRODUCT(M915,O914),IMPRODUCT(N915,Q914))</f>
        <v>-0.163806422504884i</v>
      </c>
      <c r="R915" s="7" t="str">
        <f aca="false">IMSUM(IMPRODUCT(M915,P914),IMPRODUCT(N915,R914))</f>
        <v>1+0.0163806422504884i</v>
      </c>
    </row>
    <row r="916" customFormat="false" ht="15" hidden="false" customHeight="false" outlineLevel="0" collapsed="false">
      <c r="A916" s="7" t="s">
        <v>66</v>
      </c>
      <c r="B916" s="7" t="s">
        <v>42</v>
      </c>
      <c r="C916" s="10" t="n">
        <f aca="false">P910/6</f>
        <v>1.43849206349206</v>
      </c>
      <c r="K916" s="7" t="str">
        <f aca="false">COMPLEX(1,0)</f>
        <v>1</v>
      </c>
      <c r="L916" s="7" t="str">
        <f aca="false">COMPLEX(-C916,0)</f>
        <v>-1.43849206349206</v>
      </c>
      <c r="M916" s="7" t="str">
        <f aca="false">COMPLEX(0,0)</f>
        <v>0</v>
      </c>
      <c r="N916" s="7" t="str">
        <f aca="false">COMPLEX(1,0)</f>
        <v>1</v>
      </c>
      <c r="O916" s="7" t="str">
        <f aca="false">IMSUM(IMPRODUCT(K916,O915),IMPRODUCT(L916,Q915))</f>
        <v>1+0.235634238722303i</v>
      </c>
      <c r="P916" s="7" t="str">
        <f aca="false">IMSUM(IMPRODUCT(K916,P915),IMPRODUCT(L916,R915))</f>
        <v>-1.53849206349206-0.0235634238722303i</v>
      </c>
      <c r="Q916" s="7" t="str">
        <f aca="false">IMSUM(IMPRODUCT(M916,O915),IMPRODUCT(N916,Q915))</f>
        <v>-0.163806422504884i</v>
      </c>
      <c r="R916" s="7" t="str">
        <f aca="false">IMSUM(IMPRODUCT(M916,P915),IMPRODUCT(N916,R915))</f>
        <v>1+0.0163806422504884i</v>
      </c>
    </row>
    <row r="917" customFormat="false" ht="15" hidden="false" customHeight="false" outlineLevel="0" collapsed="false">
      <c r="A917" s="7" t="s">
        <v>67</v>
      </c>
      <c r="B917" s="7" t="s">
        <v>65</v>
      </c>
      <c r="C917" s="10" t="n">
        <f aca="false">INDEX(Classes!$B$5:$F$9,MATCH(Engine!$C$896,Classes!$A$5:$A$9,0),4)*(N910*1000)</f>
        <v>4505</v>
      </c>
      <c r="K917" s="7" t="str">
        <f aca="false">COMPLEX(1,0)</f>
        <v>1</v>
      </c>
      <c r="L917" s="7" t="str">
        <f aca="false">COMPLEX(0,0)</f>
        <v>0</v>
      </c>
      <c r="M917" s="7" t="str">
        <f aca="false">COMPLEX(0,-(2*PI()/($B$2*3600))*C917)</f>
        <v>-0.327612845009769i</v>
      </c>
      <c r="N917" s="7" t="str">
        <f aca="false">COMPLEX(1,0)</f>
        <v>1</v>
      </c>
      <c r="O917" s="7" t="str">
        <f aca="false">IMSUM(IMPRODUCT(K917,O916),IMPRODUCT(L917,Q916))</f>
        <v>1+0.235634238722303i</v>
      </c>
      <c r="P917" s="7" t="str">
        <f aca="false">IMSUM(IMPRODUCT(K917,P916),IMPRODUCT(L917,R916))</f>
        <v>-1.53849206349206-0.0235634238722303i</v>
      </c>
      <c r="Q917" s="7" t="str">
        <f aca="false">IMSUM(IMPRODUCT(M917,O916),IMPRODUCT(N917,Q916))</f>
        <v>0.0771968033295248-0.491419267514653i</v>
      </c>
      <c r="R917" s="7" t="str">
        <f aca="false">IMSUM(IMPRODUCT(M917,P916),IMPRODUCT(N917,R916))</f>
        <v>0.992280319667048+0.520410404196072i</v>
      </c>
    </row>
    <row r="918" customFormat="false" ht="15" hidden="false" customHeight="false" outlineLevel="0" collapsed="false">
      <c r="A918" s="7" t="s">
        <v>68</v>
      </c>
      <c r="B918" s="7" t="s">
        <v>42</v>
      </c>
      <c r="C918" s="10" t="n">
        <f aca="false">P910/3</f>
        <v>2.87698412698413</v>
      </c>
      <c r="K918" s="7" t="str">
        <f aca="false">COMPLEX(1,0)</f>
        <v>1</v>
      </c>
      <c r="L918" s="7" t="str">
        <f aca="false">COMPLEX(-C918,0)</f>
        <v>-2.87698412698413</v>
      </c>
      <c r="M918" s="7" t="str">
        <f aca="false">COMPLEX(0,0)</f>
        <v>0</v>
      </c>
      <c r="N918" s="7" t="str">
        <f aca="false">COMPLEX(1,0)</f>
        <v>1</v>
      </c>
      <c r="O918" s="7" t="str">
        <f aca="false">IMSUM(IMPRODUCT(K918,O917),IMPRODUCT(L918,Q917))</f>
        <v>0.777906022167041+1.64943967105613i</v>
      </c>
      <c r="P918" s="7" t="str">
        <f aca="false">IMSUM(IMPRODUCT(K918,P917),IMPRODUCT(L918,R917))</f>
        <v>-4.3932667926929-1.52077589626172i</v>
      </c>
      <c r="Q918" s="7" t="str">
        <f aca="false">IMSUM(IMPRODUCT(M918,O917),IMPRODUCT(N918,Q917))</f>
        <v>0.0771968033295248-0.491419267514653i</v>
      </c>
      <c r="R918" s="7" t="str">
        <f aca="false">IMSUM(IMPRODUCT(M918,P917),IMPRODUCT(N918,R917))</f>
        <v>0.992280319667048+0.520410404196072i</v>
      </c>
    </row>
    <row r="919" customFormat="false" ht="15" hidden="false" customHeight="false" outlineLevel="0" collapsed="false">
      <c r="A919" s="7" t="s">
        <v>69</v>
      </c>
      <c r="B919" s="7" t="s">
        <v>65</v>
      </c>
      <c r="C919" s="10" t="n">
        <f aca="false">INDEX(Classes!$B$5:$F$9,MATCH(Engine!$C$896,Classes!$A$5:$A$9,0),3)*(N910*1000)</f>
        <v>4505</v>
      </c>
      <c r="K919" s="7" t="str">
        <f aca="false">COMPLEX(1,0)</f>
        <v>1</v>
      </c>
      <c r="L919" s="7" t="str">
        <f aca="false">COMPLEX(0,0)</f>
        <v>0</v>
      </c>
      <c r="M919" s="7" t="str">
        <f aca="false">COMPLEX(0,-(2*PI()/($B$2*3600))*C919)</f>
        <v>-0.327612845009769i</v>
      </c>
      <c r="N919" s="7" t="str">
        <f aca="false">COMPLEX(1,0)</f>
        <v>1</v>
      </c>
      <c r="O919" s="7" t="str">
        <f aca="false">IMSUM(IMPRODUCT(K919,O918),IMPRODUCT(L919,Q918))</f>
        <v>0.777906022167041+1.64943967105613i</v>
      </c>
      <c r="P919" s="7" t="str">
        <f aca="false">IMSUM(IMPRODUCT(K919,P918),IMPRODUCT(L919,R918))</f>
        <v>-4.3932667926929-1.52077589626172i</v>
      </c>
      <c r="Q919" s="7" t="str">
        <f aca="false">IMSUM(IMPRODUCT(M919,O918),IMPRODUCT(N919,Q918))</f>
        <v>0.617574426636201-0.74627127258703i</v>
      </c>
      <c r="R919" s="7" t="str">
        <f aca="false">IMSUM(IMPRODUCT(M919,P918),IMPRODUCT(N919,R918))</f>
        <v>0.494054601670464+1.95970103703713i</v>
      </c>
    </row>
    <row r="920" customFormat="false" ht="15" hidden="false" customHeight="false" outlineLevel="0" collapsed="false">
      <c r="A920" s="7" t="s">
        <v>68</v>
      </c>
      <c r="B920" s="7" t="s">
        <v>42</v>
      </c>
      <c r="C920" s="10" t="n">
        <f aca="false">P910/3</f>
        <v>2.87698412698413</v>
      </c>
      <c r="K920" s="7" t="str">
        <f aca="false">COMPLEX(1,0)</f>
        <v>1</v>
      </c>
      <c r="L920" s="7" t="str">
        <f aca="false">COMPLEX(-C920,0)</f>
        <v>-2.87698412698413</v>
      </c>
      <c r="M920" s="7" t="str">
        <f aca="false">COMPLEX(0,0)</f>
        <v>0</v>
      </c>
      <c r="N920" s="7" t="str">
        <f aca="false">COMPLEX(1,0)</f>
        <v>1</v>
      </c>
      <c r="O920" s="7" t="str">
        <f aca="false">IMSUM(IMPRODUCT(K920,O919),IMPRODUCT(L920,Q919))</f>
        <v>-0.998845800496639+3.79645027671326i</v>
      </c>
      <c r="P920" s="7" t="str">
        <f aca="false">IMSUM(IMPRODUCT(K920,P919),IMPRODUCT(L920,R919))</f>
        <v>-5.81465403956229-7.15880467345188i</v>
      </c>
      <c r="Q920" s="7" t="str">
        <f aca="false">IMSUM(IMPRODUCT(M920,O919),IMPRODUCT(N920,Q919))</f>
        <v>0.617574426636201-0.74627127258703i</v>
      </c>
      <c r="R920" s="7" t="str">
        <f aca="false">IMSUM(IMPRODUCT(M920,P919),IMPRODUCT(N920,R919))</f>
        <v>0.494054601670464+1.95970103703713i</v>
      </c>
    </row>
    <row r="921" customFormat="false" ht="15" hidden="false" customHeight="false" outlineLevel="0" collapsed="false">
      <c r="A921" s="7" t="s">
        <v>70</v>
      </c>
      <c r="B921" s="7" t="s">
        <v>65</v>
      </c>
      <c r="C921" s="10" t="n">
        <f aca="false">INDEX(Classes!$B$5:$F$9,MATCH(Engine!$C$896,Classes!$A$5:$A$9,0),2)*(N910*1000)</f>
        <v>4505</v>
      </c>
      <c r="K921" s="7" t="str">
        <f aca="false">COMPLEX(1,0)</f>
        <v>1</v>
      </c>
      <c r="L921" s="7" t="str">
        <f aca="false">COMPLEX(0,0)</f>
        <v>0</v>
      </c>
      <c r="M921" s="7" t="str">
        <f aca="false">COMPLEX(0,-(2*PI()/($B$2*3600))*C921)</f>
        <v>-0.327612845009769i</v>
      </c>
      <c r="N921" s="7" t="str">
        <f aca="false">COMPLEX(1,0)</f>
        <v>1</v>
      </c>
      <c r="O921" s="7" t="str">
        <f aca="false">IMSUM(IMPRODUCT(K921,O920),IMPRODUCT(L921,Q920))</f>
        <v>-0.998845800496639+3.79645027671326i</v>
      </c>
      <c r="P921" s="7" t="str">
        <f aca="false">IMSUM(IMPRODUCT(K921,P920),IMPRODUCT(L921,R920))</f>
        <v>-5.81465403956229-7.15880467345188i</v>
      </c>
      <c r="Q921" s="7" t="str">
        <f aca="false">IMSUM(IMPRODUCT(M921,O920),IMPRODUCT(N921,Q920))</f>
        <v>1.86134030272836-0.419036558160266i</v>
      </c>
      <c r="R921" s="7" t="str">
        <f aca="false">IMSUM(IMPRODUCT(M921,P920),IMPRODUCT(N921,R920))</f>
        <v>-1.85126176426834+3.86465638968568i</v>
      </c>
    </row>
    <row r="922" customFormat="false" ht="15" hidden="false" customHeight="false" outlineLevel="0" collapsed="false">
      <c r="A922" s="7" t="s">
        <v>66</v>
      </c>
      <c r="B922" s="7" t="s">
        <v>42</v>
      </c>
      <c r="C922" s="10" t="n">
        <f aca="false">P910/6</f>
        <v>1.43849206349206</v>
      </c>
      <c r="K922" s="7" t="str">
        <f aca="false">COMPLEX(1,0)</f>
        <v>1</v>
      </c>
      <c r="L922" s="7" t="str">
        <f aca="false">COMPLEX(-C922,0)</f>
        <v>-1.43849206349206</v>
      </c>
      <c r="M922" s="7" t="str">
        <f aca="false">COMPLEX(0,0)</f>
        <v>0</v>
      </c>
      <c r="N922" s="7" t="str">
        <f aca="false">COMPLEX(1,0)</f>
        <v>1</v>
      </c>
      <c r="O922" s="7" t="str">
        <f aca="false">IMSUM(IMPRODUCT(K922,O921),IMPRODUCT(L922,Q921))</f>
        <v>-3.67636905342929+4.39923103993983i</v>
      </c>
      <c r="P922" s="7" t="str">
        <f aca="false">IMSUM(IMPRODUCT(K922,P921),IMPRODUCT(L922,R921))</f>
        <v>-3.15162868421597-12.7180822181386i</v>
      </c>
      <c r="Q922" s="7" t="str">
        <f aca="false">IMSUM(IMPRODUCT(M922,O921),IMPRODUCT(N922,Q921))</f>
        <v>1.86134030272836-0.419036558160266i</v>
      </c>
      <c r="R922" s="7" t="str">
        <f aca="false">IMSUM(IMPRODUCT(M922,P921),IMPRODUCT(N922,R921))</f>
        <v>-1.85126176426834+3.86465638968568i</v>
      </c>
    </row>
    <row r="923" customFormat="false" ht="15" hidden="false" customHeight="false" outlineLevel="0" collapsed="false">
      <c r="A923" s="7" t="s">
        <v>71</v>
      </c>
      <c r="B923" s="7" t="s">
        <v>65</v>
      </c>
      <c r="C923" s="10" t="n">
        <f aca="false">INDEX(Classes!$B$5:$F$9,MATCH(Engine!$C$896,Classes!$A$5:$A$9,0),1)*(N910*1000)</f>
        <v>2252.5</v>
      </c>
      <c r="K923" s="7" t="str">
        <f aca="false">COMPLEX(1,0)</f>
        <v>1</v>
      </c>
      <c r="L923" s="7" t="str">
        <f aca="false">COMPLEX(0,0)</f>
        <v>0</v>
      </c>
      <c r="M923" s="7" t="str">
        <f aca="false">COMPLEX(0,-(2*PI()/($B$2*3600))*C923)</f>
        <v>-0.163806422504884i</v>
      </c>
      <c r="N923" s="7" t="str">
        <f aca="false">COMPLEX(1,0)</f>
        <v>1</v>
      </c>
      <c r="O923" s="7" t="str">
        <f aca="false">IMSUM(IMPRODUCT(K923,O922),IMPRODUCT(L923,Q922))</f>
        <v>-3.67636905342929+4.39923103993983i</v>
      </c>
      <c r="P923" s="7" t="str">
        <f aca="false">IMSUM(IMPRODUCT(K923,P922),IMPRODUCT(L923,R922))</f>
        <v>-3.15162868421597-12.7180822181386i</v>
      </c>
      <c r="Q923" s="7" t="str">
        <f aca="false">IMSUM(IMPRODUCT(M923,O922),IMPRODUCT(N923,Q922))</f>
        <v>2.58196260115334+0.183176304289653i</v>
      </c>
      <c r="R923" s="7" t="str">
        <f aca="false">IMSUM(IMPRODUCT(M923,P922),IMPRODUCT(N923,R922))</f>
        <v>-3.9345653135446+4.38091340951087i</v>
      </c>
    </row>
    <row r="924" customFormat="false" ht="15" hidden="false" customHeight="false" outlineLevel="0" collapsed="false">
      <c r="A924" s="7" t="s">
        <v>72</v>
      </c>
      <c r="B924" s="7" t="s">
        <v>73</v>
      </c>
      <c r="K924" s="7" t="str">
        <f aca="false">K908</f>
        <v>1</v>
      </c>
      <c r="L924" s="7" t="str">
        <f aca="false">L908</f>
        <v>-0</v>
      </c>
      <c r="M924" s="7" t="str">
        <f aca="false">M908</f>
        <v>0</v>
      </c>
      <c r="N924" s="7" t="str">
        <f aca="false">N908</f>
        <v>1</v>
      </c>
      <c r="O924" s="7" t="str">
        <f aca="false">IMSUM(IMPRODUCT(K924,O923),IMPRODUCT(L924,Q923))</f>
        <v>-3.67636905342929+4.39923103993983i</v>
      </c>
      <c r="P924" s="7" t="str">
        <f aca="false">IMSUM(IMPRODUCT(K924,P923),IMPRODUCT(L924,R923))</f>
        <v>-3.15162868421597-12.7180822181386i</v>
      </c>
      <c r="Q924" s="7" t="str">
        <f aca="false">IMSUM(IMPRODUCT(M924,O923),IMPRODUCT(N924,Q923))</f>
        <v>2.58196260115334+0.183176304289653i</v>
      </c>
      <c r="R924" s="7" t="str">
        <f aca="false">IMSUM(IMPRODUCT(M924,P923),IMPRODUCT(N924,R923))</f>
        <v>-3.9345653135446+4.38091340951087i</v>
      </c>
    </row>
    <row r="925" customFormat="false" ht="15" hidden="false" customHeight="false" outlineLevel="0" collapsed="false">
      <c r="A925" s="7" t="s">
        <v>52</v>
      </c>
      <c r="B925" s="7" t="s">
        <v>73</v>
      </c>
      <c r="K925" s="7" t="str">
        <f aca="false">K909</f>
        <v>1</v>
      </c>
      <c r="L925" s="7" t="str">
        <f aca="false">L909</f>
        <v>-0.04</v>
      </c>
      <c r="M925" s="7" t="str">
        <f aca="false">M909</f>
        <v>0</v>
      </c>
      <c r="N925" s="7" t="str">
        <f aca="false">N909</f>
        <v>1</v>
      </c>
      <c r="O925" s="7" t="str">
        <f aca="false">IMSUM(IMPRODUCT(K925,O924),IMPRODUCT(L925,Q924))</f>
        <v>-3.77964755747542+4.39190398776824i</v>
      </c>
      <c r="P925" s="7" t="str">
        <f aca="false">IMSUM(IMPRODUCT(K925,P924),IMPRODUCT(L925,R924))</f>
        <v>-2.99424607167419-12.893318754519i</v>
      </c>
      <c r="Q925" s="7" t="str">
        <f aca="false">IMSUM(IMPRODUCT(M925,O924),IMPRODUCT(N925,Q924))</f>
        <v>2.58196260115334+0.183176304289653i</v>
      </c>
      <c r="R925" s="7" t="str">
        <f aca="false">IMSUM(IMPRODUCT(M925,P924),IMPRODUCT(N925,R924))</f>
        <v>-3.9345653135446+4.38091340951087i</v>
      </c>
    </row>
    <row r="926" customFormat="false" ht="15" hidden="false" customHeight="false" outlineLevel="0" collapsed="false">
      <c r="A926" s="9" t="s">
        <v>74</v>
      </c>
      <c r="B926" s="13" t="n">
        <f aca="false">IMABS(IMDIV(IMPRODUCT(O925,COMPLEX(-1,0)),P925))</f>
        <v>0.437758060103536</v>
      </c>
    </row>
    <row r="929" customFormat="false" ht="15" hidden="false" customHeight="false" outlineLevel="0" collapsed="false">
      <c r="A929" s="4" t="s">
        <v>156</v>
      </c>
      <c r="B929" s="9" t="s">
        <v>18</v>
      </c>
      <c r="C929" s="7" t="str">
        <f aca="false">INDEX(Library!$F$5:$F$34,MATCH(A929,Library!$A$5:$A$34,0))</f>
        <v>I</v>
      </c>
    </row>
    <row r="930" customFormat="false" ht="15" hidden="false" customHeight="false" outlineLevel="0" collapsed="false">
      <c r="A930" s="4" t="s">
        <v>157</v>
      </c>
      <c r="T930" s="9" t="s">
        <v>20</v>
      </c>
      <c r="U930" s="7" t="n">
        <f aca="false">MATCH($A$929,Library!$A$5:$A$34,0)</f>
        <v>29</v>
      </c>
      <c r="V930" s="9" t="s">
        <v>21</v>
      </c>
      <c r="W930" s="7" t="str">
        <f aca="false">INDEX(Library!$D$5:$D$34,$U$930)</f>
        <v>ext</v>
      </c>
      <c r="X930" s="9" t="s">
        <v>22</v>
      </c>
      <c r="Y930" s="7" t="n">
        <f aca="false">INDEX(Library!$E$5:$E$34,$U$930)</f>
        <v>0.1</v>
      </c>
    </row>
    <row r="931" customFormat="false" ht="15" hidden="false" customHeight="false" outlineLevel="0" collapsed="false">
      <c r="A931" s="9"/>
      <c r="B931" s="9" t="s">
        <v>23</v>
      </c>
      <c r="C931" s="9" t="s">
        <v>24</v>
      </c>
      <c r="D931" s="9" t="s">
        <v>25</v>
      </c>
      <c r="E931" s="9" t="s">
        <v>26</v>
      </c>
      <c r="F931" s="9" t="s">
        <v>27</v>
      </c>
      <c r="G931" s="9" t="s">
        <v>28</v>
      </c>
      <c r="H931" s="9" t="s">
        <v>29</v>
      </c>
      <c r="I931" s="9" t="s">
        <v>30</v>
      </c>
      <c r="J931" s="9" t="s">
        <v>31</v>
      </c>
      <c r="K931" s="9" t="s">
        <v>32</v>
      </c>
      <c r="L931" s="9" t="s">
        <v>33</v>
      </c>
      <c r="M931" s="9" t="s">
        <v>34</v>
      </c>
      <c r="N931" s="9" t="s">
        <v>35</v>
      </c>
      <c r="O931" s="9" t="s">
        <v>36</v>
      </c>
      <c r="P931" s="9" t="s">
        <v>37</v>
      </c>
      <c r="Q931" s="9" t="s">
        <v>38</v>
      </c>
      <c r="R931" s="9" t="s">
        <v>39</v>
      </c>
      <c r="S931" s="9" t="s">
        <v>40</v>
      </c>
      <c r="T931" s="9" t="s">
        <v>41</v>
      </c>
    </row>
    <row r="932" customFormat="false" ht="15" hidden="false" customHeight="false" outlineLevel="0" collapsed="false">
      <c r="A932" s="7" t="s">
        <v>22</v>
      </c>
      <c r="B932" s="7" t="s">
        <v>42</v>
      </c>
      <c r="H932" s="10" t="n">
        <f aca="false">$Y$930</f>
        <v>0.1</v>
      </c>
      <c r="I932" s="11" t="n">
        <f aca="false">IF(B932="mass",SQRT(E932*($B$2*3600)/(PI()*F932*G932)),0)</f>
        <v>0</v>
      </c>
      <c r="J932" s="10" t="n">
        <f aca="false">IF(B932="mass",D932/I932,0)</f>
        <v>0</v>
      </c>
      <c r="K932" s="7" t="str">
        <f aca="false">IF(B932="mass",COMPLEX(COSH(J932)*COS(J932),SINH(J932)*SIN(J932)),COMPLEX(1,0))</f>
        <v>1</v>
      </c>
      <c r="L932" s="7" t="str">
        <f aca="false">IF(B932="mass",COMPLEX(-I932/(2*E932)*(SINH(J932)*COS(J932)+COSH(J932)*SIN(J932)),-I932/(2*E932)*(COSH(J932)*SIN(J932)-SINH(J932)*COS(J932))),COMPLEX(-H932,0))</f>
        <v>-0.1</v>
      </c>
      <c r="M932" s="7" t="str">
        <f aca="false">IF(B932="mass",COMPLEX(-E932/I932*(SINH(J932)*COS(J932)-COSH(J932)*SIN(J932)),-E932/I932*(SINH(J932)*COS(J932)+COSH(J932)*SIN(J932))),COMPLEX(0,0))</f>
        <v>0</v>
      </c>
      <c r="N932" s="7" t="str">
        <f aca="false">K932</f>
        <v>1</v>
      </c>
      <c r="O932" s="7" t="str">
        <f aca="false">K932</f>
        <v>1</v>
      </c>
      <c r="P932" s="7" t="str">
        <f aca="false">L932</f>
        <v>-0.1</v>
      </c>
      <c r="Q932" s="7" t="str">
        <f aca="false">M932</f>
        <v>0</v>
      </c>
      <c r="R932" s="7" t="str">
        <f aca="false">N932</f>
        <v>1</v>
      </c>
      <c r="S932" s="10" t="n">
        <f aca="false">IF(B932="mass",D932/E932,H932)</f>
        <v>0.1</v>
      </c>
      <c r="T932" s="12" t="n">
        <f aca="false">IF(B932="mass",F932*G932*D932,0)</f>
        <v>0</v>
      </c>
    </row>
    <row r="933" customFormat="false" ht="15" hidden="false" customHeight="false" outlineLevel="0" collapsed="false">
      <c r="A933" s="7" t="s">
        <v>43</v>
      </c>
      <c r="B933" s="7" t="str">
        <f aca="false">IF(C933="","none",IF(C933="Cavity","res","mass"))</f>
        <v>mass</v>
      </c>
      <c r="C933" s="7" t="str">
        <f aca="false">IF(INDEX(Library!$G$5:$G$34,$U$930)="","",INDEX(Library!$G$5:$G$34,$U$930))</f>
        <v>dense concrete</v>
      </c>
      <c r="D933" s="11" t="n">
        <f aca="false">IF(B933="mass",INDEX(Library!$H$5:$H$34,$U$930)/1000,0)</f>
        <v>0.2</v>
      </c>
      <c r="E933" s="7" t="n">
        <f aca="false">IF(B933="mass",INDEX(Materials!$B$5:$B$28,MATCH(C933,Materials!$A$5:$A$28,0)),0)</f>
        <v>2</v>
      </c>
      <c r="F933" s="7" t="n">
        <f aca="false">IF(B933="mass",INDEX(Materials!$C$5:$C$28,MATCH(C933,Materials!$A$5:$A$28,0)),0)</f>
        <v>2400</v>
      </c>
      <c r="G933" s="7" t="n">
        <f aca="false">IF(B933="mass",INDEX(Materials!$D$5:$D$28,MATCH(C933,Materials!$A$5:$A$28,0)),0)</f>
        <v>1000</v>
      </c>
      <c r="H933" s="10" t="n">
        <f aca="false">IF(B933="res",INDEX(Library!$H$5:$H$34,$U$930),0)</f>
        <v>0</v>
      </c>
      <c r="I933" s="11" t="n">
        <f aca="false">IF(B933="mass",SQRT(E933*($B$2*3600)/(PI()*F933*G933)),0)</f>
        <v>0.15138795132121</v>
      </c>
      <c r="J933" s="10" t="n">
        <f aca="false">IF(B933="mass",D933/I933,0)</f>
        <v>1.321109099202</v>
      </c>
      <c r="K933" s="7" t="str">
        <f aca="false">IF(B933="mass",COMPLEX(COSH(J933)*COS(J933),SINH(J933)*SIN(J933)),COMPLEX(1,0))</f>
        <v>0.495982737946704+1.68639891751205i</v>
      </c>
      <c r="L933" s="7" t="str">
        <f aca="false">IF(B933="mass",COMPLEX(-I933/(2*E933)*(SINH(J933)*COS(J933)+COSH(J933)*SIN(J933)),-I933/(2*E933)*(COSH(J933)*SIN(J933)-SINH(J933)*COS(J933))),COMPLEX(-H933,0))</f>
        <v>-0.0898869704420313-0.0573350384677054i</v>
      </c>
      <c r="M933" s="7" t="str">
        <f aca="false">IF(B933="mass",COMPLEX(-E933/I933*(SINH(J933)*COS(J933)-COSH(J933)*SIN(J933)),-E933/I933*(SINH(J933)*COS(J933)+COSH(J933)*SIN(J933))),COMPLEX(0,0))</f>
        <v>20.0137039603813-31.3764717771254i</v>
      </c>
      <c r="N933" s="7" t="str">
        <f aca="false">K933</f>
        <v>0.495982737946704+1.68639891751205i</v>
      </c>
      <c r="O933" s="7" t="str">
        <f aca="false">IMSUM(IMPRODUCT(K933,O932),IMPRODUCT(L933,Q932))</f>
        <v>0.495982737946704+1.68639891751205i</v>
      </c>
      <c r="P933" s="7" t="str">
        <f aca="false">IMSUM(IMPRODUCT(K933,P932),IMPRODUCT(L933,R932))</f>
        <v>-0.139485244236702-0.22597493021891i</v>
      </c>
      <c r="Q933" s="7" t="str">
        <f aca="false">IMSUM(IMPRODUCT(M933,O932),IMPRODUCT(N933,Q932))</f>
        <v>20.0137039603813-31.3764717771254i</v>
      </c>
      <c r="R933" s="7" t="str">
        <f aca="false">IMSUM(IMPRODUCT(M933,P932),IMPRODUCT(N933,R932))</f>
        <v>-1.50538765809143+4.82404609522459i</v>
      </c>
      <c r="S933" s="10" t="n">
        <f aca="false">IF(B933="mass",D933/E933,H933)</f>
        <v>0.1</v>
      </c>
      <c r="T933" s="12" t="n">
        <f aca="false">IF(B933="mass",F933*G933*D933,0)</f>
        <v>480000</v>
      </c>
    </row>
    <row r="934" customFormat="false" ht="15" hidden="false" customHeight="false" outlineLevel="0" collapsed="false">
      <c r="A934" s="7" t="s">
        <v>44</v>
      </c>
      <c r="B934" s="7" t="str">
        <f aca="false">IF(C934="","none",IF(C934="Cavity","res","mass"))</f>
        <v>mass</v>
      </c>
      <c r="C934" s="7" t="str">
        <f aca="false">IF(INDEX(Library!$I$5:$I$34,$U$930)="","",INDEX(Library!$I$5:$I$34,$U$930))</f>
        <v>PIR</v>
      </c>
      <c r="D934" s="11" t="n">
        <f aca="false">IF(B934="mass",INDEX(Library!$J$5:$J$34,$U$930)/1000,0)</f>
        <v>0.15</v>
      </c>
      <c r="E934" s="7" t="n">
        <f aca="false">IF(B934="mass",INDEX(Materials!$B$5:$B$28,MATCH(C934,Materials!$A$5:$A$28,0)),0)</f>
        <v>0.022</v>
      </c>
      <c r="F934" s="7" t="n">
        <f aca="false">IF(B934="mass",INDEX(Materials!$C$5:$C$28,MATCH(C934,Materials!$A$5:$A$28,0)),0)</f>
        <v>30</v>
      </c>
      <c r="G934" s="7" t="n">
        <f aca="false">IF(B934="mass",INDEX(Materials!$D$5:$D$28,MATCH(C934,Materials!$A$5:$A$28,0)),0)</f>
        <v>1400</v>
      </c>
      <c r="H934" s="10" t="n">
        <f aca="false">IF(B934="res",INDEX(Library!$J$5:$J$34,$U$930),0)</f>
        <v>0</v>
      </c>
      <c r="I934" s="11" t="n">
        <f aca="false">IF(B934="mass",SQRT(E934*($B$2*3600)/(PI()*F934*G934)),0)</f>
        <v>0.120024147536488</v>
      </c>
      <c r="J934" s="10" t="n">
        <f aca="false">IF(B934="mass",D934/I934,0)</f>
        <v>1.24974851376802</v>
      </c>
      <c r="K934" s="7" t="str">
        <f aca="false">IF(B934="mass",COMPLEX(COSH(J934)*COS(J934),SINH(J934)*SIN(J934)),COMPLEX(1,0))</f>
        <v>0.595785835820773+1.5196188906128i</v>
      </c>
      <c r="L934" s="7" t="str">
        <f aca="false">IF(B934="mass",COMPLEX(-I934/(2*E934)*(SINH(J934)*COS(J934)+COSH(J934)*SIN(J934)),-I934/(2*E934)*(COSH(J934)*SIN(J934)-SINH(J934)*COS(J934))),COMPLEX(-H934,0))</f>
        <v>-6.2655511248983-3.50852360471547i</v>
      </c>
      <c r="M934" s="7" t="str">
        <f aca="false">IF(B934="mass",COMPLEX(-E934/I934*(SINH(J934)*COS(J934)-COSH(J934)*SIN(J934)),-E934/I934*(SINH(J934)*COS(J934)+COSH(J934)*SIN(J934))),COMPLEX(0,0))</f>
        <v>0.235755861826966-0.421014811838813i</v>
      </c>
      <c r="N934" s="7" t="str">
        <f aca="false">K934</f>
        <v>0.595785835820773+1.5196188906128i</v>
      </c>
      <c r="O934" s="7" t="str">
        <f aca="false">IMSUM(IMPRODUCT(K934,O933),IMPRODUCT(L934,Q933))</f>
        <v>-237.749161387162+128.130772602322i</v>
      </c>
      <c r="P934" s="7" t="str">
        <f aca="false">IMSUM(IMPRODUCT(K934,P933),IMPRODUCT(L934,R933))</f>
        <v>26.617655369837-25.2902163806134i</v>
      </c>
      <c r="Q934" s="7" t="str">
        <f aca="false">IMSUM(IMPRODUCT(M934,O933),IMPRODUCT(N934,Q933))</f>
        <v>60.4310903359818+11.9083074975763i</v>
      </c>
      <c r="R934" s="7" t="str">
        <f aca="false">IMSUM(IMPRODUCT(M934,P933),IMPRODUCT(N934,R933))</f>
        <v>-8.35562347629405+0.591933251381778i</v>
      </c>
      <c r="S934" s="10" t="n">
        <f aca="false">IF(B934="mass",D934/E934,H934)</f>
        <v>6.81818181818182</v>
      </c>
      <c r="T934" s="12" t="n">
        <f aca="false">IF(B934="mass",F934*G934*D934,0)</f>
        <v>6300</v>
      </c>
    </row>
    <row r="935" customFormat="false" ht="15" hidden="false" customHeight="false" outlineLevel="0" collapsed="false">
      <c r="A935" s="7" t="s">
        <v>45</v>
      </c>
      <c r="B935" s="7" t="str">
        <f aca="false">IF(C935="","none",IF(C935="Cavity","res","mass"))</f>
        <v>none</v>
      </c>
      <c r="C935" s="7" t="str">
        <f aca="false">IF(INDEX(Library!$K$5:$K$34,$U$930)="","",INDEX(Library!$K$5:$K$34,$U$930))</f>
        <v/>
      </c>
      <c r="D935" s="11" t="n">
        <f aca="false">IF(B935="mass",INDEX(Library!$L$5:$L$34,$U$930)/1000,0)</f>
        <v>0</v>
      </c>
      <c r="E935" s="7" t="n">
        <f aca="false">IF(B935="mass",INDEX(Materials!$B$5:$B$28,MATCH(C935,Materials!$A$5:$A$28,0)),0)</f>
        <v>0</v>
      </c>
      <c r="F935" s="7" t="n">
        <f aca="false">IF(B935="mass",INDEX(Materials!$C$5:$C$28,MATCH(C935,Materials!$A$5:$A$28,0)),0)</f>
        <v>0</v>
      </c>
      <c r="G935" s="7" t="n">
        <f aca="false">IF(B935="mass",INDEX(Materials!$D$5:$D$28,MATCH(C935,Materials!$A$5:$A$28,0)),0)</f>
        <v>0</v>
      </c>
      <c r="H935" s="10" t="n">
        <f aca="false">IF(B935="res",INDEX(Library!$L$5:$L$34,$U$930),0)</f>
        <v>0</v>
      </c>
      <c r="I935" s="11" t="n">
        <f aca="false">IF(B935="mass",SQRT(E935*($B$2*3600)/(PI()*F935*G935)),0)</f>
        <v>0</v>
      </c>
      <c r="J935" s="10" t="n">
        <f aca="false">IF(B935="mass",D935/I935,0)</f>
        <v>0</v>
      </c>
      <c r="K935" s="7" t="str">
        <f aca="false">IF(B935="mass",COMPLEX(COSH(J935)*COS(J935),SINH(J935)*SIN(J935)),COMPLEX(1,0))</f>
        <v>1</v>
      </c>
      <c r="L935" s="7" t="str">
        <f aca="false">IF(B935="mass",COMPLEX(-I935/(2*E935)*(SINH(J935)*COS(J935)+COSH(J935)*SIN(J935)),-I935/(2*E935)*(COSH(J935)*SIN(J935)-SINH(J935)*COS(J935))),COMPLEX(-H935,0))</f>
        <v>-0</v>
      </c>
      <c r="M935" s="7" t="str">
        <f aca="false">IF(B935="mass",COMPLEX(-E935/I935*(SINH(J935)*COS(J935)-COSH(J935)*SIN(J935)),-E935/I935*(SINH(J935)*COS(J935)+COSH(J935)*SIN(J935))),COMPLEX(0,0))</f>
        <v>0</v>
      </c>
      <c r="N935" s="7" t="str">
        <f aca="false">K935</f>
        <v>1</v>
      </c>
      <c r="O935" s="7" t="str">
        <f aca="false">IMSUM(IMPRODUCT(K935,O934),IMPRODUCT(L935,Q934))</f>
        <v>-237.749161387162+128.130772602322i</v>
      </c>
      <c r="P935" s="7" t="str">
        <f aca="false">IMSUM(IMPRODUCT(K935,P934),IMPRODUCT(L935,R934))</f>
        <v>26.617655369837-25.2902163806134i</v>
      </c>
      <c r="Q935" s="7" t="str">
        <f aca="false">IMSUM(IMPRODUCT(M935,O934),IMPRODUCT(N935,Q934))</f>
        <v>60.4310903359818+11.9083074975763i</v>
      </c>
      <c r="R935" s="7" t="str">
        <f aca="false">IMSUM(IMPRODUCT(M935,P934),IMPRODUCT(N935,R934))</f>
        <v>-8.35562347629405+0.591933251381778i</v>
      </c>
      <c r="S935" s="10" t="n">
        <f aca="false">IF(B935="mass",D935/E935,H935)</f>
        <v>0</v>
      </c>
      <c r="T935" s="12" t="n">
        <f aca="false">IF(B935="mass",F935*G935*D935,0)</f>
        <v>0</v>
      </c>
    </row>
    <row r="936" customFormat="false" ht="15" hidden="false" customHeight="false" outlineLevel="0" collapsed="false">
      <c r="A936" s="7" t="s">
        <v>46</v>
      </c>
      <c r="B936" s="7" t="str">
        <f aca="false">IF(C936="","none",IF(C936="Cavity","res","mass"))</f>
        <v>none</v>
      </c>
      <c r="C936" s="7" t="str">
        <f aca="false">IF(INDEX(Library!$M$5:$M$34,$U$930)="","",INDEX(Library!$M$5:$M$34,$U$930))</f>
        <v/>
      </c>
      <c r="D936" s="11" t="n">
        <f aca="false">IF(B936="mass",INDEX(Library!$N$5:$N$34,$U$930)/1000,0)</f>
        <v>0</v>
      </c>
      <c r="E936" s="7" t="n">
        <f aca="false">IF(B936="mass",INDEX(Materials!$B$5:$B$28,MATCH(C936,Materials!$A$5:$A$28,0)),0)</f>
        <v>0</v>
      </c>
      <c r="F936" s="7" t="n">
        <f aca="false">IF(B936="mass",INDEX(Materials!$C$5:$C$28,MATCH(C936,Materials!$A$5:$A$28,0)),0)</f>
        <v>0</v>
      </c>
      <c r="G936" s="7" t="n">
        <f aca="false">IF(B936="mass",INDEX(Materials!$D$5:$D$28,MATCH(C936,Materials!$A$5:$A$28,0)),0)</f>
        <v>0</v>
      </c>
      <c r="H936" s="10" t="n">
        <f aca="false">IF(B936="res",INDEX(Library!$N$5:$N$34,$U$930),0)</f>
        <v>0</v>
      </c>
      <c r="I936" s="11" t="n">
        <f aca="false">IF(B936="mass",SQRT(E936*($B$2*3600)/(PI()*F936*G936)),0)</f>
        <v>0</v>
      </c>
      <c r="J936" s="10" t="n">
        <f aca="false">IF(B936="mass",D936/I936,0)</f>
        <v>0</v>
      </c>
      <c r="K936" s="7" t="str">
        <f aca="false">IF(B936="mass",COMPLEX(COSH(J936)*COS(J936),SINH(J936)*SIN(J936)),COMPLEX(1,0))</f>
        <v>1</v>
      </c>
      <c r="L936" s="7" t="str">
        <f aca="false">IF(B936="mass",COMPLEX(-I936/(2*E936)*(SINH(J936)*COS(J936)+COSH(J936)*SIN(J936)),-I936/(2*E936)*(COSH(J936)*SIN(J936)-SINH(J936)*COS(J936))),COMPLEX(-H936,0))</f>
        <v>-0</v>
      </c>
      <c r="M936" s="7" t="str">
        <f aca="false">IF(B936="mass",COMPLEX(-E936/I936*(SINH(J936)*COS(J936)-COSH(J936)*SIN(J936)),-E936/I936*(SINH(J936)*COS(J936)+COSH(J936)*SIN(J936))),COMPLEX(0,0))</f>
        <v>0</v>
      </c>
      <c r="N936" s="7" t="str">
        <f aca="false">K936</f>
        <v>1</v>
      </c>
      <c r="O936" s="7" t="str">
        <f aca="false">IMSUM(IMPRODUCT(K936,O935),IMPRODUCT(L936,Q935))</f>
        <v>-237.749161387162+128.130772602322i</v>
      </c>
      <c r="P936" s="7" t="str">
        <f aca="false">IMSUM(IMPRODUCT(K936,P935),IMPRODUCT(L936,R935))</f>
        <v>26.617655369837-25.2902163806134i</v>
      </c>
      <c r="Q936" s="7" t="str">
        <f aca="false">IMSUM(IMPRODUCT(M936,O935),IMPRODUCT(N936,Q935))</f>
        <v>60.4310903359818+11.9083074975763i</v>
      </c>
      <c r="R936" s="7" t="str">
        <f aca="false">IMSUM(IMPRODUCT(M936,P935),IMPRODUCT(N936,R935))</f>
        <v>-8.35562347629405+0.591933251381778i</v>
      </c>
      <c r="S936" s="10" t="n">
        <f aca="false">IF(B936="mass",D936/E936,H936)</f>
        <v>0</v>
      </c>
      <c r="T936" s="12" t="n">
        <f aca="false">IF(B936="mass",F936*G936*D936,0)</f>
        <v>0</v>
      </c>
    </row>
    <row r="937" customFormat="false" ht="15" hidden="false" customHeight="false" outlineLevel="0" collapsed="false">
      <c r="A937" s="7" t="s">
        <v>47</v>
      </c>
      <c r="B937" s="7" t="str">
        <f aca="false">IF(C937="","none",IF(C937="Cavity","res","mass"))</f>
        <v>none</v>
      </c>
      <c r="C937" s="7" t="str">
        <f aca="false">IF(INDEX(Library!$O$5:$O$34,$U$930)="","",INDEX(Library!$O$5:$O$34,$U$930))</f>
        <v/>
      </c>
      <c r="D937" s="11" t="n">
        <f aca="false">IF(B937="mass",INDEX(Library!$P$5:$P$34,$U$930)/1000,0)</f>
        <v>0</v>
      </c>
      <c r="E937" s="7" t="n">
        <f aca="false">IF(B937="mass",INDEX(Materials!$B$5:$B$28,MATCH(C937,Materials!$A$5:$A$28,0)),0)</f>
        <v>0</v>
      </c>
      <c r="F937" s="7" t="n">
        <f aca="false">IF(B937="mass",INDEX(Materials!$C$5:$C$28,MATCH(C937,Materials!$A$5:$A$28,0)),0)</f>
        <v>0</v>
      </c>
      <c r="G937" s="7" t="n">
        <f aca="false">IF(B937="mass",INDEX(Materials!$D$5:$D$28,MATCH(C937,Materials!$A$5:$A$28,0)),0)</f>
        <v>0</v>
      </c>
      <c r="H937" s="10" t="n">
        <f aca="false">IF(B937="res",INDEX(Library!$P$5:$P$34,$U$930),0)</f>
        <v>0</v>
      </c>
      <c r="I937" s="11" t="n">
        <f aca="false">IF(B937="mass",SQRT(E937*($B$2*3600)/(PI()*F937*G937)),0)</f>
        <v>0</v>
      </c>
      <c r="J937" s="10" t="n">
        <f aca="false">IF(B937="mass",D937/I937,0)</f>
        <v>0</v>
      </c>
      <c r="K937" s="7" t="str">
        <f aca="false">IF(B937="mass",COMPLEX(COSH(J937)*COS(J937),SINH(J937)*SIN(J937)),COMPLEX(1,0))</f>
        <v>1</v>
      </c>
      <c r="L937" s="7" t="str">
        <f aca="false">IF(B937="mass",COMPLEX(-I937/(2*E937)*(SINH(J937)*COS(J937)+COSH(J937)*SIN(J937)),-I937/(2*E937)*(COSH(J937)*SIN(J937)-SINH(J937)*COS(J937))),COMPLEX(-H937,0))</f>
        <v>-0</v>
      </c>
      <c r="M937" s="7" t="str">
        <f aca="false">IF(B937="mass",COMPLEX(-E937/I937*(SINH(J937)*COS(J937)-COSH(J937)*SIN(J937)),-E937/I937*(SINH(J937)*COS(J937)+COSH(J937)*SIN(J937))),COMPLEX(0,0))</f>
        <v>0</v>
      </c>
      <c r="N937" s="7" t="str">
        <f aca="false">K937</f>
        <v>1</v>
      </c>
      <c r="O937" s="7" t="str">
        <f aca="false">IMSUM(IMPRODUCT(K937,O936),IMPRODUCT(L937,Q936))</f>
        <v>-237.749161387162+128.130772602322i</v>
      </c>
      <c r="P937" s="7" t="str">
        <f aca="false">IMSUM(IMPRODUCT(K937,P936),IMPRODUCT(L937,R936))</f>
        <v>26.617655369837-25.2902163806134i</v>
      </c>
      <c r="Q937" s="7" t="str">
        <f aca="false">IMSUM(IMPRODUCT(M937,O936),IMPRODUCT(N937,Q936))</f>
        <v>60.4310903359818+11.9083074975763i</v>
      </c>
      <c r="R937" s="7" t="str">
        <f aca="false">IMSUM(IMPRODUCT(M937,P936),IMPRODUCT(N937,R936))</f>
        <v>-8.35562347629405+0.591933251381778i</v>
      </c>
      <c r="S937" s="10" t="n">
        <f aca="false">IF(B937="mass",D937/E937,H937)</f>
        <v>0</v>
      </c>
      <c r="T937" s="12" t="n">
        <f aca="false">IF(B937="mass",F937*G937*D937,0)</f>
        <v>0</v>
      </c>
    </row>
    <row r="938" customFormat="false" ht="15" hidden="false" customHeight="false" outlineLevel="0" collapsed="false">
      <c r="A938" s="7" t="s">
        <v>48</v>
      </c>
      <c r="B938" s="7" t="str">
        <f aca="false">IF(C938="","none",IF(C938="Cavity","res","mass"))</f>
        <v>none</v>
      </c>
      <c r="C938" s="7" t="str">
        <f aca="false">IF(INDEX(Library!$Q$5:$Q$34,$U$930)="","",INDEX(Library!$Q$5:$Q$34,$U$930))</f>
        <v/>
      </c>
      <c r="D938" s="11" t="n">
        <f aca="false">IF(B938="mass",INDEX(Library!$R$5:$R$34,$U$930)/1000,0)</f>
        <v>0</v>
      </c>
      <c r="E938" s="7" t="n">
        <f aca="false">IF(B938="mass",INDEX(Materials!$B$5:$B$28,MATCH(C938,Materials!$A$5:$A$28,0)),0)</f>
        <v>0</v>
      </c>
      <c r="F938" s="7" t="n">
        <f aca="false">IF(B938="mass",INDEX(Materials!$C$5:$C$28,MATCH(C938,Materials!$A$5:$A$28,0)),0)</f>
        <v>0</v>
      </c>
      <c r="G938" s="7" t="n">
        <f aca="false">IF(B938="mass",INDEX(Materials!$D$5:$D$28,MATCH(C938,Materials!$A$5:$A$28,0)),0)</f>
        <v>0</v>
      </c>
      <c r="H938" s="10" t="n">
        <f aca="false">IF(B938="res",INDEX(Library!$R$5:$R$34,$U$930),0)</f>
        <v>0</v>
      </c>
      <c r="I938" s="11" t="n">
        <f aca="false">IF(B938="mass",SQRT(E938*($B$2*3600)/(PI()*F938*G938)),0)</f>
        <v>0</v>
      </c>
      <c r="J938" s="10" t="n">
        <f aca="false">IF(B938="mass",D938/I938,0)</f>
        <v>0</v>
      </c>
      <c r="K938" s="7" t="str">
        <f aca="false">IF(B938="mass",COMPLEX(COSH(J938)*COS(J938),SINH(J938)*SIN(J938)),COMPLEX(1,0))</f>
        <v>1</v>
      </c>
      <c r="L938" s="7" t="str">
        <f aca="false">IF(B938="mass",COMPLEX(-I938/(2*E938)*(SINH(J938)*COS(J938)+COSH(J938)*SIN(J938)),-I938/(2*E938)*(COSH(J938)*SIN(J938)-SINH(J938)*COS(J938))),COMPLEX(-H938,0))</f>
        <v>-0</v>
      </c>
      <c r="M938" s="7" t="str">
        <f aca="false">IF(B938="mass",COMPLEX(-E938/I938*(SINH(J938)*COS(J938)-COSH(J938)*SIN(J938)),-E938/I938*(SINH(J938)*COS(J938)+COSH(J938)*SIN(J938))),COMPLEX(0,0))</f>
        <v>0</v>
      </c>
      <c r="N938" s="7" t="str">
        <f aca="false">K938</f>
        <v>1</v>
      </c>
      <c r="O938" s="7" t="str">
        <f aca="false">IMSUM(IMPRODUCT(K938,O937),IMPRODUCT(L938,Q937))</f>
        <v>-237.749161387162+128.130772602322i</v>
      </c>
      <c r="P938" s="7" t="str">
        <f aca="false">IMSUM(IMPRODUCT(K938,P937),IMPRODUCT(L938,R937))</f>
        <v>26.617655369837-25.2902163806134i</v>
      </c>
      <c r="Q938" s="7" t="str">
        <f aca="false">IMSUM(IMPRODUCT(M938,O937),IMPRODUCT(N938,Q937))</f>
        <v>60.4310903359818+11.9083074975763i</v>
      </c>
      <c r="R938" s="7" t="str">
        <f aca="false">IMSUM(IMPRODUCT(M938,P937),IMPRODUCT(N938,R937))</f>
        <v>-8.35562347629405+0.591933251381778i</v>
      </c>
      <c r="S938" s="10" t="n">
        <f aca="false">IF(B938="mass",D938/E938,H938)</f>
        <v>0</v>
      </c>
      <c r="T938" s="12" t="n">
        <f aca="false">IF(B938="mass",F938*G938*D938,0)</f>
        <v>0</v>
      </c>
    </row>
    <row r="939" customFormat="false" ht="15" hidden="false" customHeight="false" outlineLevel="0" collapsed="false">
      <c r="A939" s="7" t="s">
        <v>49</v>
      </c>
      <c r="B939" s="7" t="str">
        <f aca="false">IF(C939="","none",IF(C939="Cavity","res","mass"))</f>
        <v>none</v>
      </c>
      <c r="C939" s="7" t="str">
        <f aca="false">IF(INDEX(Library!$S$5:$S$34,$U$930)="","",INDEX(Library!$S$5:$S$34,$U$930))</f>
        <v/>
      </c>
      <c r="D939" s="11" t="n">
        <f aca="false">IF(B939="mass",INDEX(Library!$T$5:$T$34,$U$930)/1000,0)</f>
        <v>0</v>
      </c>
      <c r="E939" s="7" t="n">
        <f aca="false">IF(B939="mass",INDEX(Materials!$B$5:$B$28,MATCH(C939,Materials!$A$5:$A$28,0)),0)</f>
        <v>0</v>
      </c>
      <c r="F939" s="7" t="n">
        <f aca="false">IF(B939="mass",INDEX(Materials!$C$5:$C$28,MATCH(C939,Materials!$A$5:$A$28,0)),0)</f>
        <v>0</v>
      </c>
      <c r="G939" s="7" t="n">
        <f aca="false">IF(B939="mass",INDEX(Materials!$D$5:$D$28,MATCH(C939,Materials!$A$5:$A$28,0)),0)</f>
        <v>0</v>
      </c>
      <c r="H939" s="10" t="n">
        <f aca="false">IF(B939="res",INDEX(Library!$T$5:$T$34,$U$930),0)</f>
        <v>0</v>
      </c>
      <c r="I939" s="11" t="n">
        <f aca="false">IF(B939="mass",SQRT(E939*($B$2*3600)/(PI()*F939*G939)),0)</f>
        <v>0</v>
      </c>
      <c r="J939" s="10" t="n">
        <f aca="false">IF(B939="mass",D939/I939,0)</f>
        <v>0</v>
      </c>
      <c r="K939" s="7" t="str">
        <f aca="false">IF(B939="mass",COMPLEX(COSH(J939)*COS(J939),SINH(J939)*SIN(J939)),COMPLEX(1,0))</f>
        <v>1</v>
      </c>
      <c r="L939" s="7" t="str">
        <f aca="false">IF(B939="mass",COMPLEX(-I939/(2*E939)*(SINH(J939)*COS(J939)+COSH(J939)*SIN(J939)),-I939/(2*E939)*(COSH(J939)*SIN(J939)-SINH(J939)*COS(J939))),COMPLEX(-H939,0))</f>
        <v>-0</v>
      </c>
      <c r="M939" s="7" t="str">
        <f aca="false">IF(B939="mass",COMPLEX(-E939/I939*(SINH(J939)*COS(J939)-COSH(J939)*SIN(J939)),-E939/I939*(SINH(J939)*COS(J939)+COSH(J939)*SIN(J939))),COMPLEX(0,0))</f>
        <v>0</v>
      </c>
      <c r="N939" s="7" t="str">
        <f aca="false">K939</f>
        <v>1</v>
      </c>
      <c r="O939" s="7" t="str">
        <f aca="false">IMSUM(IMPRODUCT(K939,O938),IMPRODUCT(L939,Q938))</f>
        <v>-237.749161387162+128.130772602322i</v>
      </c>
      <c r="P939" s="7" t="str">
        <f aca="false">IMSUM(IMPRODUCT(K939,P938),IMPRODUCT(L939,R938))</f>
        <v>26.617655369837-25.2902163806134i</v>
      </c>
      <c r="Q939" s="7" t="str">
        <f aca="false">IMSUM(IMPRODUCT(M939,O938),IMPRODUCT(N939,Q938))</f>
        <v>60.4310903359818+11.9083074975763i</v>
      </c>
      <c r="R939" s="7" t="str">
        <f aca="false">IMSUM(IMPRODUCT(M939,P938),IMPRODUCT(N939,R938))</f>
        <v>-8.35562347629405+0.591933251381778i</v>
      </c>
      <c r="S939" s="10" t="n">
        <f aca="false">IF(B939="mass",D939/E939,H939)</f>
        <v>0</v>
      </c>
      <c r="T939" s="12" t="n">
        <f aca="false">IF(B939="mass",F939*G939*D939,0)</f>
        <v>0</v>
      </c>
    </row>
    <row r="940" customFormat="false" ht="15" hidden="false" customHeight="false" outlineLevel="0" collapsed="false">
      <c r="A940" s="7" t="s">
        <v>50</v>
      </c>
      <c r="B940" s="7" t="str">
        <f aca="false">IF(C940="","none",IF(C940="Cavity","res","mass"))</f>
        <v>none</v>
      </c>
      <c r="C940" s="7" t="str">
        <f aca="false">IF(INDEX(Library!$U$5:$U$34,$U$930)="","",INDEX(Library!$U$5:$U$34,$U$930))</f>
        <v/>
      </c>
      <c r="D940" s="11" t="n">
        <f aca="false">IF(B940="mass",INDEX(Library!$V$5:$V$34,$U$930)/1000,0)</f>
        <v>0</v>
      </c>
      <c r="E940" s="7" t="n">
        <f aca="false">IF(B940="mass",INDEX(Materials!$B$5:$B$28,MATCH(C940,Materials!$A$5:$A$28,0)),0)</f>
        <v>0</v>
      </c>
      <c r="F940" s="7" t="n">
        <f aca="false">IF(B940="mass",INDEX(Materials!$C$5:$C$28,MATCH(C940,Materials!$A$5:$A$28,0)),0)</f>
        <v>0</v>
      </c>
      <c r="G940" s="7" t="n">
        <f aca="false">IF(B940="mass",INDEX(Materials!$D$5:$D$28,MATCH(C940,Materials!$A$5:$A$28,0)),0)</f>
        <v>0</v>
      </c>
      <c r="H940" s="10" t="n">
        <f aca="false">IF(B940="res",INDEX(Library!$V$5:$V$34,$U$930),0)</f>
        <v>0</v>
      </c>
      <c r="I940" s="11" t="n">
        <f aca="false">IF(B940="mass",SQRT(E940*($B$2*3600)/(PI()*F940*G940)),0)</f>
        <v>0</v>
      </c>
      <c r="J940" s="10" t="n">
        <f aca="false">IF(B940="mass",D940/I940,0)</f>
        <v>0</v>
      </c>
      <c r="K940" s="7" t="str">
        <f aca="false">IF(B940="mass",COMPLEX(COSH(J940)*COS(J940),SINH(J940)*SIN(J940)),COMPLEX(1,0))</f>
        <v>1</v>
      </c>
      <c r="L940" s="7" t="str">
        <f aca="false">IF(B940="mass",COMPLEX(-I940/(2*E940)*(SINH(J940)*COS(J940)+COSH(J940)*SIN(J940)),-I940/(2*E940)*(COSH(J940)*SIN(J940)-SINH(J940)*COS(J940))),COMPLEX(-H940,0))</f>
        <v>-0</v>
      </c>
      <c r="M940" s="7" t="str">
        <f aca="false">IF(B940="mass",COMPLEX(-E940/I940*(SINH(J940)*COS(J940)-COSH(J940)*SIN(J940)),-E940/I940*(SINH(J940)*COS(J940)+COSH(J940)*SIN(J940))),COMPLEX(0,0))</f>
        <v>0</v>
      </c>
      <c r="N940" s="7" t="str">
        <f aca="false">K940</f>
        <v>1</v>
      </c>
      <c r="O940" s="7" t="str">
        <f aca="false">IMSUM(IMPRODUCT(K940,O939),IMPRODUCT(L940,Q939))</f>
        <v>-237.749161387162+128.130772602322i</v>
      </c>
      <c r="P940" s="7" t="str">
        <f aca="false">IMSUM(IMPRODUCT(K940,P939),IMPRODUCT(L940,R939))</f>
        <v>26.617655369837-25.2902163806134i</v>
      </c>
      <c r="Q940" s="7" t="str">
        <f aca="false">IMSUM(IMPRODUCT(M940,O939),IMPRODUCT(N940,Q939))</f>
        <v>60.4310903359818+11.9083074975763i</v>
      </c>
      <c r="R940" s="7" t="str">
        <f aca="false">IMSUM(IMPRODUCT(M940,P939),IMPRODUCT(N940,R939))</f>
        <v>-8.35562347629405+0.591933251381778i</v>
      </c>
      <c r="S940" s="10" t="n">
        <f aca="false">IF(B940="mass",D940/E940,H940)</f>
        <v>0</v>
      </c>
      <c r="T940" s="12" t="n">
        <f aca="false">IF(B940="mass",F940*G940*D940,0)</f>
        <v>0</v>
      </c>
    </row>
    <row r="941" customFormat="false" ht="15" hidden="false" customHeight="false" outlineLevel="0" collapsed="false">
      <c r="A941" s="7" t="s">
        <v>51</v>
      </c>
      <c r="B941" s="7" t="str">
        <f aca="false">IF($W$930="ground","mass",IF($W$930="adiabatic","res","none"))</f>
        <v>none</v>
      </c>
      <c r="C941" s="7" t="str">
        <f aca="false">IF($W$930="ground","clay soil","")</f>
        <v/>
      </c>
      <c r="D941" s="11" t="n">
        <f aca="false">IF(B941="mass",1,0)</f>
        <v>0</v>
      </c>
      <c r="E941" s="7" t="n">
        <f aca="false">IF(B941="mass",INDEX(Materials!$B$5:$B$28,MATCH(C941,Materials!$A$5:$A$28,0)),0)</f>
        <v>0</v>
      </c>
      <c r="F941" s="7" t="n">
        <f aca="false">IF(B941="mass",INDEX(Materials!$C$5:$C$28,MATCH(C941,Materials!$A$5:$A$28,0)),0)</f>
        <v>0</v>
      </c>
      <c r="G941" s="7" t="n">
        <f aca="false">IF(B941="mass",INDEX(Materials!$D$5:$D$28,MATCH(C941,Materials!$A$5:$A$28,0)),0)</f>
        <v>0</v>
      </c>
      <c r="H941" s="12" t="n">
        <f aca="false">IF(B941="res",1000000,0)</f>
        <v>0</v>
      </c>
      <c r="I941" s="11" t="n">
        <f aca="false">IF(B941="mass",SQRT(E941*($B$2*3600)/(PI()*F941*G941)),0)</f>
        <v>0</v>
      </c>
      <c r="J941" s="10" t="n">
        <f aca="false">IF(B941="mass",D941/I941,0)</f>
        <v>0</v>
      </c>
      <c r="K941" s="7" t="str">
        <f aca="false">IF(B941="mass",COMPLEX(COSH(J941)*COS(J941),SINH(J941)*SIN(J941)),COMPLEX(1,0))</f>
        <v>1</v>
      </c>
      <c r="L941" s="7" t="str">
        <f aca="false">IF(B941="mass",COMPLEX(-I941/(2*E941)*(SINH(J941)*COS(J941)+COSH(J941)*SIN(J941)),-I941/(2*E941)*(COSH(J941)*SIN(J941)-SINH(J941)*COS(J941))),COMPLEX(-H941,0))</f>
        <v>-0</v>
      </c>
      <c r="M941" s="7" t="str">
        <f aca="false">IF(B941="mass",COMPLEX(-E941/I941*(SINH(J941)*COS(J941)-COSH(J941)*SIN(J941)),-E941/I941*(SINH(J941)*COS(J941)+COSH(J941)*SIN(J941))),COMPLEX(0,0))</f>
        <v>0</v>
      </c>
      <c r="N941" s="7" t="str">
        <f aca="false">K941</f>
        <v>1</v>
      </c>
      <c r="O941" s="7" t="str">
        <f aca="false">IMSUM(IMPRODUCT(K941,O940),IMPRODUCT(L941,Q940))</f>
        <v>-237.749161387162+128.130772602322i</v>
      </c>
      <c r="P941" s="7" t="str">
        <f aca="false">IMSUM(IMPRODUCT(K941,P940),IMPRODUCT(L941,R940))</f>
        <v>26.617655369837-25.2902163806134i</v>
      </c>
      <c r="Q941" s="7" t="str">
        <f aca="false">IMSUM(IMPRODUCT(M941,O940),IMPRODUCT(N941,Q940))</f>
        <v>60.4310903359818+11.9083074975763i</v>
      </c>
      <c r="R941" s="7" t="str">
        <f aca="false">IMSUM(IMPRODUCT(M941,P940),IMPRODUCT(N941,R940))</f>
        <v>-8.35562347629405+0.591933251381778i</v>
      </c>
      <c r="S941" s="10" t="n">
        <f aca="false">IF(B941="mass",D941/E941,H941)</f>
        <v>0</v>
      </c>
      <c r="T941" s="12" t="n">
        <f aca="false">IF(B941="mass",F941*G941*D941,0)</f>
        <v>0</v>
      </c>
    </row>
    <row r="942" customFormat="false" ht="15" hidden="false" customHeight="false" outlineLevel="0" collapsed="false">
      <c r="A942" s="7" t="s">
        <v>52</v>
      </c>
      <c r="B942" s="7" t="s">
        <v>42</v>
      </c>
      <c r="H942" s="10" t="n">
        <f aca="false">IF($W$930="ext",0.04,IF($W$930="room",$Y$930,0))</f>
        <v>0.04</v>
      </c>
      <c r="I942" s="11" t="n">
        <f aca="false">IF(B942="mass",SQRT(E942*($B$2*3600)/(PI()*F942*G942)),0)</f>
        <v>0</v>
      </c>
      <c r="J942" s="10" t="n">
        <f aca="false">IF(B942="mass",D942/I942,0)</f>
        <v>0</v>
      </c>
      <c r="K942" s="7" t="str">
        <f aca="false">IF(B942="mass",COMPLEX(COSH(J942)*COS(J942),SINH(J942)*SIN(J942)),COMPLEX(1,0))</f>
        <v>1</v>
      </c>
      <c r="L942" s="7" t="str">
        <f aca="false">IF(B942="mass",COMPLEX(-I942/(2*E942)*(SINH(J942)*COS(J942)+COSH(J942)*SIN(J942)),-I942/(2*E942)*(COSH(J942)*SIN(J942)-SINH(J942)*COS(J942))),COMPLEX(-H942,0))</f>
        <v>-0.04</v>
      </c>
      <c r="M942" s="7" t="str">
        <f aca="false">IF(B942="mass",COMPLEX(-E942/I942*(SINH(J942)*COS(J942)-COSH(J942)*SIN(J942)),-E942/I942*(SINH(J942)*COS(J942)+COSH(J942)*SIN(J942))),COMPLEX(0,0))</f>
        <v>0</v>
      </c>
      <c r="N942" s="7" t="str">
        <f aca="false">K942</f>
        <v>1</v>
      </c>
      <c r="O942" s="7" t="str">
        <f aca="false">IMSUM(IMPRODUCT(K942,O941),IMPRODUCT(L942,Q941))</f>
        <v>-240.166405000601+127.654440302419i</v>
      </c>
      <c r="P942" s="7" t="str">
        <f aca="false">IMSUM(IMPRODUCT(K942,P941),IMPRODUCT(L942,R941))</f>
        <v>26.9518803088888-25.3138937106687i</v>
      </c>
      <c r="Q942" s="7" t="str">
        <f aca="false">IMSUM(IMPRODUCT(M942,O941),IMPRODUCT(N942,Q941))</f>
        <v>60.4310903359818+11.9083074975763i</v>
      </c>
      <c r="R942" s="7" t="str">
        <f aca="false">IMSUM(IMPRODUCT(M942,P941),IMPRODUCT(N942,R941))</f>
        <v>-8.35562347629405+0.591933251381778i</v>
      </c>
      <c r="S942" s="10" t="n">
        <f aca="false">IF(B942="mass",D942/E942,H942)</f>
        <v>0.04</v>
      </c>
      <c r="T942" s="12" t="n">
        <f aca="false">IF(B942="mass",F942*G942*D942,0)</f>
        <v>0</v>
      </c>
    </row>
    <row r="943" customFormat="false" ht="15" hidden="false" customHeight="false" outlineLevel="0" collapsed="false">
      <c r="A943" s="9" t="s">
        <v>53</v>
      </c>
      <c r="B943" s="13" t="n">
        <f aca="false">IF(OR($W$930="ext",$W$930="ground"),1/SUM(S932:S942),"–")</f>
        <v>0.141679546625451</v>
      </c>
      <c r="C943" s="9" t="s">
        <v>54</v>
      </c>
      <c r="D943" s="13" t="n">
        <f aca="false">IMABS(IMDIV(IMPRODUCT(O942,COMPLEX(-1,0)),P942))</f>
        <v>7.35577720224427</v>
      </c>
      <c r="E943" s="9" t="s">
        <v>55</v>
      </c>
      <c r="F943" s="14" t="n">
        <f aca="false">IMARGUMENT(IMDIV(IMPRODUCT(O942,COMPLEX(-1,0)),P942))*$B$2/(2*PI())</f>
        <v>1.01421353326281</v>
      </c>
      <c r="G943" s="9" t="s">
        <v>56</v>
      </c>
      <c r="H943" s="13" t="n">
        <f aca="false">IF($W$930="ext",IMABS(IMDIV(COMPLEX(-1,0),P942))*SUM(S932:S942),"–")</f>
        <v>0.190887408744984</v>
      </c>
      <c r="I943" s="9" t="s">
        <v>57</v>
      </c>
      <c r="J943" s="14" t="n">
        <f aca="false">IF($W$930="ext",MOD(-IMARGUMENT(IMDIV(COMPLEX(-1,0),P942))*$B$2/(2*PI()),24),"–")</f>
        <v>9.11966915050912</v>
      </c>
      <c r="K943" s="9" t="s">
        <v>58</v>
      </c>
      <c r="L943" s="15" t="n">
        <f aca="false">($B$2*3600)/(2*PI())*IMABS(IMDIV(IMSUB(O942,COMPLEX(1,0)),P942))/1000</f>
        <v>101.477734779041</v>
      </c>
      <c r="M943" s="9" t="s">
        <v>59</v>
      </c>
      <c r="N943" s="15" t="n">
        <f aca="false">SUM(T933:T940)/1000</f>
        <v>486.3</v>
      </c>
      <c r="O943" s="9" t="s">
        <v>60</v>
      </c>
      <c r="P943" s="16" t="n">
        <f aca="false">SUM(S933:S940)</f>
        <v>6.91818181818182</v>
      </c>
    </row>
    <row r="945" customFormat="false" ht="15" hidden="false" customHeight="false" outlineLevel="0" collapsed="false">
      <c r="A945" s="4" t="s">
        <v>158</v>
      </c>
    </row>
    <row r="946" customFormat="false" ht="15" hidden="false" customHeight="false" outlineLevel="0" collapsed="false">
      <c r="A946" s="9"/>
      <c r="B946" s="9" t="s">
        <v>62</v>
      </c>
      <c r="C946" s="9" t="s">
        <v>63</v>
      </c>
      <c r="D946" s="9"/>
      <c r="E946" s="9"/>
      <c r="F946" s="9"/>
      <c r="G946" s="9"/>
      <c r="H946" s="9"/>
      <c r="I946" s="9"/>
      <c r="J946" s="9"/>
      <c r="K946" s="9" t="s">
        <v>32</v>
      </c>
      <c r="L946" s="9" t="s">
        <v>33</v>
      </c>
      <c r="M946" s="9" t="s">
        <v>34</v>
      </c>
      <c r="N946" s="9" t="s">
        <v>35</v>
      </c>
      <c r="O946" s="9" t="s">
        <v>36</v>
      </c>
      <c r="P946" s="9" t="s">
        <v>37</v>
      </c>
      <c r="Q946" s="9" t="s">
        <v>38</v>
      </c>
      <c r="R946" s="9" t="s">
        <v>39</v>
      </c>
    </row>
    <row r="947" customFormat="false" ht="15" hidden="false" customHeight="false" outlineLevel="0" collapsed="false">
      <c r="A947" s="7" t="s">
        <v>22</v>
      </c>
      <c r="B947" s="7" t="s">
        <v>42</v>
      </c>
      <c r="C947" s="10" t="n">
        <f aca="false">$Y$930</f>
        <v>0.1</v>
      </c>
      <c r="K947" s="7" t="str">
        <f aca="false">COMPLEX(1,0)</f>
        <v>1</v>
      </c>
      <c r="L947" s="7" t="str">
        <f aca="false">COMPLEX(-C947,0)</f>
        <v>-0.1</v>
      </c>
      <c r="M947" s="7" t="str">
        <f aca="false">COMPLEX(0,0)</f>
        <v>0</v>
      </c>
      <c r="N947" s="7" t="str">
        <f aca="false">COMPLEX(1,0)</f>
        <v>1</v>
      </c>
      <c r="O947" s="7" t="str">
        <f aca="false">K947</f>
        <v>1</v>
      </c>
      <c r="P947" s="7" t="str">
        <f aca="false">L947</f>
        <v>-0.1</v>
      </c>
      <c r="Q947" s="7" t="str">
        <f aca="false">M947</f>
        <v>0</v>
      </c>
      <c r="R947" s="7" t="str">
        <f aca="false">N947</f>
        <v>1</v>
      </c>
    </row>
    <row r="948" customFormat="false" ht="15" hidden="false" customHeight="false" outlineLevel="0" collapsed="false">
      <c r="A948" s="7" t="s">
        <v>64</v>
      </c>
      <c r="B948" s="7" t="s">
        <v>65</v>
      </c>
      <c r="C948" s="10" t="n">
        <f aca="false">INDEX(Classes!$B$5:$F$9,MATCH(Engine!$C$929,Classes!$A$5:$A$9,0),5)*(N943*1000)</f>
        <v>486300</v>
      </c>
      <c r="K948" s="7" t="str">
        <f aca="false">COMPLEX(1,0)</f>
        <v>1</v>
      </c>
      <c r="L948" s="7" t="str">
        <f aca="false">COMPLEX(0,0)</f>
        <v>0</v>
      </c>
      <c r="M948" s="7" t="str">
        <f aca="false">COMPLEX(0,-(2*PI()/($B$2*3600))*C948)</f>
        <v>-35.3647339685351i</v>
      </c>
      <c r="N948" s="7" t="str">
        <f aca="false">COMPLEX(1,0)</f>
        <v>1</v>
      </c>
      <c r="O948" s="7" t="str">
        <f aca="false">IMSUM(IMPRODUCT(K948,O947),IMPRODUCT(L948,Q947))</f>
        <v>1</v>
      </c>
      <c r="P948" s="7" t="str">
        <f aca="false">IMSUM(IMPRODUCT(K948,P947),IMPRODUCT(L948,R947))</f>
        <v>-0.1</v>
      </c>
      <c r="Q948" s="7" t="str">
        <f aca="false">IMSUM(IMPRODUCT(M948,O947),IMPRODUCT(N948,Q947))</f>
        <v>-35.3647339685351i</v>
      </c>
      <c r="R948" s="7" t="str">
        <f aca="false">IMSUM(IMPRODUCT(M948,P947),IMPRODUCT(N948,R947))</f>
        <v>1+3.53647339685351i</v>
      </c>
    </row>
    <row r="949" customFormat="false" ht="15" hidden="false" customHeight="false" outlineLevel="0" collapsed="false">
      <c r="A949" s="7" t="s">
        <v>66</v>
      </c>
      <c r="B949" s="7" t="s">
        <v>42</v>
      </c>
      <c r="C949" s="10" t="n">
        <f aca="false">P943/6</f>
        <v>1.1530303030303</v>
      </c>
      <c r="K949" s="7" t="str">
        <f aca="false">COMPLEX(1,0)</f>
        <v>1</v>
      </c>
      <c r="L949" s="7" t="str">
        <f aca="false">COMPLEX(-C949,0)</f>
        <v>-1.1530303030303</v>
      </c>
      <c r="M949" s="7" t="str">
        <f aca="false">COMPLEX(0,0)</f>
        <v>0</v>
      </c>
      <c r="N949" s="7" t="str">
        <f aca="false">COMPLEX(1,0)</f>
        <v>1</v>
      </c>
      <c r="O949" s="7" t="str">
        <f aca="false">IMSUM(IMPRODUCT(K949,O948),IMPRODUCT(L949,Q948))</f>
        <v>1+40.776609924326i</v>
      </c>
      <c r="P949" s="7" t="str">
        <f aca="false">IMSUM(IMPRODUCT(K949,P948),IMPRODUCT(L949,R948))</f>
        <v>-1.2530303030303-4.0776609924326i</v>
      </c>
      <c r="Q949" s="7" t="str">
        <f aca="false">IMSUM(IMPRODUCT(M949,O948),IMPRODUCT(N949,Q948))</f>
        <v>-35.3647339685351i</v>
      </c>
      <c r="R949" s="7" t="str">
        <f aca="false">IMSUM(IMPRODUCT(M949,P948),IMPRODUCT(N949,R948))</f>
        <v>1+3.53647339685351i</v>
      </c>
    </row>
    <row r="950" customFormat="false" ht="15" hidden="false" customHeight="false" outlineLevel="0" collapsed="false">
      <c r="A950" s="7" t="s">
        <v>67</v>
      </c>
      <c r="B950" s="7" t="s">
        <v>65</v>
      </c>
      <c r="C950" s="10" t="n">
        <f aca="false">INDEX(Classes!$B$5:$F$9,MATCH(Engine!$C$929,Classes!$A$5:$A$9,0),4)*(N943*1000)</f>
        <v>0</v>
      </c>
      <c r="K950" s="7" t="str">
        <f aca="false">COMPLEX(1,0)</f>
        <v>1</v>
      </c>
      <c r="L950" s="7" t="str">
        <f aca="false">COMPLEX(0,0)</f>
        <v>0</v>
      </c>
      <c r="M950" s="7" t="str">
        <f aca="false">COMPLEX(0,-(2*PI()/($B$2*3600))*C950)</f>
        <v>0</v>
      </c>
      <c r="N950" s="7" t="str">
        <f aca="false">COMPLEX(1,0)</f>
        <v>1</v>
      </c>
      <c r="O950" s="7" t="str">
        <f aca="false">IMSUM(IMPRODUCT(K950,O949),IMPRODUCT(L950,Q949))</f>
        <v>1+40.776609924326i</v>
      </c>
      <c r="P950" s="7" t="str">
        <f aca="false">IMSUM(IMPRODUCT(K950,P949),IMPRODUCT(L950,R949))</f>
        <v>-1.2530303030303-4.0776609924326i</v>
      </c>
      <c r="Q950" s="7" t="str">
        <f aca="false">IMSUM(IMPRODUCT(M950,O949),IMPRODUCT(N950,Q949))</f>
        <v>-35.3647339685351i</v>
      </c>
      <c r="R950" s="7" t="str">
        <f aca="false">IMSUM(IMPRODUCT(M950,P949),IMPRODUCT(N950,R949))</f>
        <v>1+3.53647339685351i</v>
      </c>
    </row>
    <row r="951" customFormat="false" ht="15" hidden="false" customHeight="false" outlineLevel="0" collapsed="false">
      <c r="A951" s="7" t="s">
        <v>68</v>
      </c>
      <c r="B951" s="7" t="s">
        <v>42</v>
      </c>
      <c r="C951" s="10" t="n">
        <f aca="false">P943/3</f>
        <v>2.30606060606061</v>
      </c>
      <c r="K951" s="7" t="str">
        <f aca="false">COMPLEX(1,0)</f>
        <v>1</v>
      </c>
      <c r="L951" s="7" t="str">
        <f aca="false">COMPLEX(-C951,0)</f>
        <v>-2.30606060606061</v>
      </c>
      <c r="M951" s="7" t="str">
        <f aca="false">COMPLEX(0,0)</f>
        <v>0</v>
      </c>
      <c r="N951" s="7" t="str">
        <f aca="false">COMPLEX(1,0)</f>
        <v>1</v>
      </c>
      <c r="O951" s="7" t="str">
        <f aca="false">IMSUM(IMPRODUCT(K951,O950),IMPRODUCT(L951,Q950))</f>
        <v>1+122.329829772978i</v>
      </c>
      <c r="P951" s="7" t="str">
        <f aca="false">IMSUM(IMPRODUCT(K951,P950),IMPRODUCT(L951,R950))</f>
        <v>-3.55909090909091-12.2329829772978i</v>
      </c>
      <c r="Q951" s="7" t="str">
        <f aca="false">IMSUM(IMPRODUCT(M951,O950),IMPRODUCT(N951,Q950))</f>
        <v>-35.3647339685351i</v>
      </c>
      <c r="R951" s="7" t="str">
        <f aca="false">IMSUM(IMPRODUCT(M951,P950),IMPRODUCT(N951,R950))</f>
        <v>1+3.53647339685351i</v>
      </c>
    </row>
    <row r="952" customFormat="false" ht="15" hidden="false" customHeight="false" outlineLevel="0" collapsed="false">
      <c r="A952" s="7" t="s">
        <v>69</v>
      </c>
      <c r="B952" s="7" t="s">
        <v>65</v>
      </c>
      <c r="C952" s="10" t="n">
        <f aca="false">INDEX(Classes!$B$5:$F$9,MATCH(Engine!$C$929,Classes!$A$5:$A$9,0),3)*(N943*1000)</f>
        <v>0</v>
      </c>
      <c r="K952" s="7" t="str">
        <f aca="false">COMPLEX(1,0)</f>
        <v>1</v>
      </c>
      <c r="L952" s="7" t="str">
        <f aca="false">COMPLEX(0,0)</f>
        <v>0</v>
      </c>
      <c r="M952" s="7" t="str">
        <f aca="false">COMPLEX(0,-(2*PI()/($B$2*3600))*C952)</f>
        <v>0</v>
      </c>
      <c r="N952" s="7" t="str">
        <f aca="false">COMPLEX(1,0)</f>
        <v>1</v>
      </c>
      <c r="O952" s="7" t="str">
        <f aca="false">IMSUM(IMPRODUCT(K952,O951),IMPRODUCT(L952,Q951))</f>
        <v>1+122.329829772978i</v>
      </c>
      <c r="P952" s="7" t="str">
        <f aca="false">IMSUM(IMPRODUCT(K952,P951),IMPRODUCT(L952,R951))</f>
        <v>-3.55909090909091-12.2329829772978i</v>
      </c>
      <c r="Q952" s="7" t="str">
        <f aca="false">IMSUM(IMPRODUCT(M952,O951),IMPRODUCT(N952,Q951))</f>
        <v>-35.3647339685351i</v>
      </c>
      <c r="R952" s="7" t="str">
        <f aca="false">IMSUM(IMPRODUCT(M952,P951),IMPRODUCT(N952,R951))</f>
        <v>1+3.53647339685351i</v>
      </c>
    </row>
    <row r="953" customFormat="false" ht="15" hidden="false" customHeight="false" outlineLevel="0" collapsed="false">
      <c r="A953" s="7" t="s">
        <v>68</v>
      </c>
      <c r="B953" s="7" t="s">
        <v>42</v>
      </c>
      <c r="C953" s="10" t="n">
        <f aca="false">P943/3</f>
        <v>2.30606060606061</v>
      </c>
      <c r="K953" s="7" t="str">
        <f aca="false">COMPLEX(1,0)</f>
        <v>1</v>
      </c>
      <c r="L953" s="7" t="str">
        <f aca="false">COMPLEX(-C953,0)</f>
        <v>-2.30606060606061</v>
      </c>
      <c r="M953" s="7" t="str">
        <f aca="false">COMPLEX(0,0)</f>
        <v>0</v>
      </c>
      <c r="N953" s="7" t="str">
        <f aca="false">COMPLEX(1,0)</f>
        <v>1</v>
      </c>
      <c r="O953" s="7" t="str">
        <f aca="false">IMSUM(IMPRODUCT(K953,O952),IMPRODUCT(L953,Q952))</f>
        <v>1+203.88304962163i</v>
      </c>
      <c r="P953" s="7" t="str">
        <f aca="false">IMSUM(IMPRODUCT(K953,P952),IMPRODUCT(L953,R952))</f>
        <v>-5.86515151515152-20.388304962163i</v>
      </c>
      <c r="Q953" s="7" t="str">
        <f aca="false">IMSUM(IMPRODUCT(M953,O952),IMPRODUCT(N953,Q952))</f>
        <v>-35.3647339685351i</v>
      </c>
      <c r="R953" s="7" t="str">
        <f aca="false">IMSUM(IMPRODUCT(M953,P952),IMPRODUCT(N953,R952))</f>
        <v>1+3.53647339685351i</v>
      </c>
    </row>
    <row r="954" customFormat="false" ht="15" hidden="false" customHeight="false" outlineLevel="0" collapsed="false">
      <c r="A954" s="7" t="s">
        <v>70</v>
      </c>
      <c r="B954" s="7" t="s">
        <v>65</v>
      </c>
      <c r="C954" s="10" t="n">
        <f aca="false">INDEX(Classes!$B$5:$F$9,MATCH(Engine!$C$929,Classes!$A$5:$A$9,0),2)*(N943*1000)</f>
        <v>0</v>
      </c>
      <c r="K954" s="7" t="str">
        <f aca="false">COMPLEX(1,0)</f>
        <v>1</v>
      </c>
      <c r="L954" s="7" t="str">
        <f aca="false">COMPLEX(0,0)</f>
        <v>0</v>
      </c>
      <c r="M954" s="7" t="str">
        <f aca="false">COMPLEX(0,-(2*PI()/($B$2*3600))*C954)</f>
        <v>0</v>
      </c>
      <c r="N954" s="7" t="str">
        <f aca="false">COMPLEX(1,0)</f>
        <v>1</v>
      </c>
      <c r="O954" s="7" t="str">
        <f aca="false">IMSUM(IMPRODUCT(K954,O953),IMPRODUCT(L954,Q953))</f>
        <v>1+203.88304962163i</v>
      </c>
      <c r="P954" s="7" t="str">
        <f aca="false">IMSUM(IMPRODUCT(K954,P953),IMPRODUCT(L954,R953))</f>
        <v>-5.86515151515152-20.388304962163i</v>
      </c>
      <c r="Q954" s="7" t="str">
        <f aca="false">IMSUM(IMPRODUCT(M954,O953),IMPRODUCT(N954,Q953))</f>
        <v>-35.3647339685351i</v>
      </c>
      <c r="R954" s="7" t="str">
        <f aca="false">IMSUM(IMPRODUCT(M954,P953),IMPRODUCT(N954,R953))</f>
        <v>1+3.53647339685351i</v>
      </c>
    </row>
    <row r="955" customFormat="false" ht="15" hidden="false" customHeight="false" outlineLevel="0" collapsed="false">
      <c r="A955" s="7" t="s">
        <v>66</v>
      </c>
      <c r="B955" s="7" t="s">
        <v>42</v>
      </c>
      <c r="C955" s="10" t="n">
        <f aca="false">P943/6</f>
        <v>1.1530303030303</v>
      </c>
      <c r="K955" s="7" t="str">
        <f aca="false">COMPLEX(1,0)</f>
        <v>1</v>
      </c>
      <c r="L955" s="7" t="str">
        <f aca="false">COMPLEX(-C955,0)</f>
        <v>-1.1530303030303</v>
      </c>
      <c r="M955" s="7" t="str">
        <f aca="false">COMPLEX(0,0)</f>
        <v>0</v>
      </c>
      <c r="N955" s="7" t="str">
        <f aca="false">COMPLEX(1,0)</f>
        <v>1</v>
      </c>
      <c r="O955" s="7" t="str">
        <f aca="false">IMSUM(IMPRODUCT(K955,O954),IMPRODUCT(L955,Q954))</f>
        <v>1+244.659659545956i</v>
      </c>
      <c r="P955" s="7" t="str">
        <f aca="false">IMSUM(IMPRODUCT(K955,P954),IMPRODUCT(L955,R954))</f>
        <v>-7.01818181818182-24.4659659545956i</v>
      </c>
      <c r="Q955" s="7" t="str">
        <f aca="false">IMSUM(IMPRODUCT(M955,O954),IMPRODUCT(N955,Q954))</f>
        <v>-35.3647339685351i</v>
      </c>
      <c r="R955" s="7" t="str">
        <f aca="false">IMSUM(IMPRODUCT(M955,P954),IMPRODUCT(N955,R954))</f>
        <v>1+3.53647339685351i</v>
      </c>
    </row>
    <row r="956" customFormat="false" ht="15" hidden="false" customHeight="false" outlineLevel="0" collapsed="false">
      <c r="A956" s="7" t="s">
        <v>71</v>
      </c>
      <c r="B956" s="7" t="s">
        <v>65</v>
      </c>
      <c r="C956" s="10" t="n">
        <f aca="false">INDEX(Classes!$B$5:$F$9,MATCH(Engine!$C$929,Classes!$A$5:$A$9,0),1)*(N943*1000)</f>
        <v>0</v>
      </c>
      <c r="K956" s="7" t="str">
        <f aca="false">COMPLEX(1,0)</f>
        <v>1</v>
      </c>
      <c r="L956" s="7" t="str">
        <f aca="false">COMPLEX(0,0)</f>
        <v>0</v>
      </c>
      <c r="M956" s="7" t="str">
        <f aca="false">COMPLEX(0,-(2*PI()/($B$2*3600))*C956)</f>
        <v>0</v>
      </c>
      <c r="N956" s="7" t="str">
        <f aca="false">COMPLEX(1,0)</f>
        <v>1</v>
      </c>
      <c r="O956" s="7" t="str">
        <f aca="false">IMSUM(IMPRODUCT(K956,O955),IMPRODUCT(L956,Q955))</f>
        <v>1+244.659659545956i</v>
      </c>
      <c r="P956" s="7" t="str">
        <f aca="false">IMSUM(IMPRODUCT(K956,P955),IMPRODUCT(L956,R955))</f>
        <v>-7.01818181818182-24.4659659545956i</v>
      </c>
      <c r="Q956" s="7" t="str">
        <f aca="false">IMSUM(IMPRODUCT(M956,O955),IMPRODUCT(N956,Q955))</f>
        <v>-35.3647339685351i</v>
      </c>
      <c r="R956" s="7" t="str">
        <f aca="false">IMSUM(IMPRODUCT(M956,P955),IMPRODUCT(N956,R955))</f>
        <v>1+3.53647339685351i</v>
      </c>
    </row>
    <row r="957" customFormat="false" ht="15" hidden="false" customHeight="false" outlineLevel="0" collapsed="false">
      <c r="A957" s="7" t="s">
        <v>72</v>
      </c>
      <c r="B957" s="7" t="s">
        <v>73</v>
      </c>
      <c r="K957" s="7" t="str">
        <f aca="false">K941</f>
        <v>1</v>
      </c>
      <c r="L957" s="7" t="str">
        <f aca="false">L941</f>
        <v>-0</v>
      </c>
      <c r="M957" s="7" t="str">
        <f aca="false">M941</f>
        <v>0</v>
      </c>
      <c r="N957" s="7" t="str">
        <f aca="false">N941</f>
        <v>1</v>
      </c>
      <c r="O957" s="7" t="str">
        <f aca="false">IMSUM(IMPRODUCT(K957,O956),IMPRODUCT(L957,Q956))</f>
        <v>1+244.659659545956i</v>
      </c>
      <c r="P957" s="7" t="str">
        <f aca="false">IMSUM(IMPRODUCT(K957,P956),IMPRODUCT(L957,R956))</f>
        <v>-7.01818181818182-24.4659659545956i</v>
      </c>
      <c r="Q957" s="7" t="str">
        <f aca="false">IMSUM(IMPRODUCT(M957,O956),IMPRODUCT(N957,Q956))</f>
        <v>-35.3647339685351i</v>
      </c>
      <c r="R957" s="7" t="str">
        <f aca="false">IMSUM(IMPRODUCT(M957,P956),IMPRODUCT(N957,R956))</f>
        <v>1+3.53647339685351i</v>
      </c>
    </row>
    <row r="958" customFormat="false" ht="15" hidden="false" customHeight="false" outlineLevel="0" collapsed="false">
      <c r="A958" s="7" t="s">
        <v>52</v>
      </c>
      <c r="B958" s="7" t="s">
        <v>73</v>
      </c>
      <c r="K958" s="7" t="str">
        <f aca="false">K942</f>
        <v>1</v>
      </c>
      <c r="L958" s="7" t="str">
        <f aca="false">L942</f>
        <v>-0.04</v>
      </c>
      <c r="M958" s="7" t="str">
        <f aca="false">M942</f>
        <v>0</v>
      </c>
      <c r="N958" s="7" t="str">
        <f aca="false">N942</f>
        <v>1</v>
      </c>
      <c r="O958" s="7" t="str">
        <f aca="false">IMSUM(IMPRODUCT(K958,O957),IMPRODUCT(L958,Q957))</f>
        <v>1+246.074248904697i</v>
      </c>
      <c r="P958" s="7" t="str">
        <f aca="false">IMSUM(IMPRODUCT(K958,P957),IMPRODUCT(L958,R957))</f>
        <v>-7.05818181818182-24.6074248904697i</v>
      </c>
      <c r="Q958" s="7" t="str">
        <f aca="false">IMSUM(IMPRODUCT(M958,O957),IMPRODUCT(N958,Q957))</f>
        <v>-35.3647339685351i</v>
      </c>
      <c r="R958" s="7" t="str">
        <f aca="false">IMSUM(IMPRODUCT(M958,P957),IMPRODUCT(N958,R957))</f>
        <v>1+3.53647339685351i</v>
      </c>
    </row>
    <row r="959" customFormat="false" ht="15" hidden="false" customHeight="false" outlineLevel="0" collapsed="false">
      <c r="A959" s="9" t="s">
        <v>74</v>
      </c>
      <c r="B959" s="13" t="n">
        <f aca="false">IMABS(IMDIV(IMPRODUCT(O958,COMPLEX(-1,0)),P958))</f>
        <v>9.61247726408989</v>
      </c>
    </row>
    <row r="962" customFormat="false" ht="15" hidden="false" customHeight="false" outlineLevel="0" collapsed="false">
      <c r="A962" s="4" t="s">
        <v>159</v>
      </c>
      <c r="B962" s="9" t="s">
        <v>18</v>
      </c>
      <c r="C962" s="7" t="str">
        <f aca="false">INDEX(Library!$F$5:$F$34,MATCH(A962,Library!$A$5:$A$34,0))</f>
        <v>IE</v>
      </c>
    </row>
    <row r="963" customFormat="false" ht="15" hidden="false" customHeight="false" outlineLevel="0" collapsed="false">
      <c r="A963" s="4" t="s">
        <v>160</v>
      </c>
      <c r="T963" s="9" t="s">
        <v>20</v>
      </c>
      <c r="U963" s="7" t="n">
        <f aca="false">MATCH($A$962,Library!$A$5:$A$34,0)</f>
        <v>30</v>
      </c>
      <c r="V963" s="9" t="s">
        <v>21</v>
      </c>
      <c r="W963" s="7" t="str">
        <f aca="false">INDEX(Library!$D$5:$D$34,$U$963)</f>
        <v>ext</v>
      </c>
      <c r="X963" s="9" t="s">
        <v>22</v>
      </c>
      <c r="Y963" s="7" t="n">
        <f aca="false">INDEX(Library!$E$5:$E$34,$U$963)</f>
        <v>0.13</v>
      </c>
    </row>
    <row r="964" customFormat="false" ht="15" hidden="false" customHeight="false" outlineLevel="0" collapsed="false">
      <c r="A964" s="9"/>
      <c r="B964" s="9" t="s">
        <v>23</v>
      </c>
      <c r="C964" s="9" t="s">
        <v>24</v>
      </c>
      <c r="D964" s="9" t="s">
        <v>25</v>
      </c>
      <c r="E964" s="9" t="s">
        <v>26</v>
      </c>
      <c r="F964" s="9" t="s">
        <v>27</v>
      </c>
      <c r="G964" s="9" t="s">
        <v>28</v>
      </c>
      <c r="H964" s="9" t="s">
        <v>29</v>
      </c>
      <c r="I964" s="9" t="s">
        <v>30</v>
      </c>
      <c r="J964" s="9" t="s">
        <v>31</v>
      </c>
      <c r="K964" s="9" t="s">
        <v>32</v>
      </c>
      <c r="L964" s="9" t="s">
        <v>33</v>
      </c>
      <c r="M964" s="9" t="s">
        <v>34</v>
      </c>
      <c r="N964" s="9" t="s">
        <v>35</v>
      </c>
      <c r="O964" s="9" t="s">
        <v>36</v>
      </c>
      <c r="P964" s="9" t="s">
        <v>37</v>
      </c>
      <c r="Q964" s="9" t="s">
        <v>38</v>
      </c>
      <c r="R964" s="9" t="s">
        <v>39</v>
      </c>
      <c r="S964" s="9" t="s">
        <v>40</v>
      </c>
      <c r="T964" s="9" t="s">
        <v>41</v>
      </c>
    </row>
    <row r="965" customFormat="false" ht="15" hidden="false" customHeight="false" outlineLevel="0" collapsed="false">
      <c r="A965" s="7" t="s">
        <v>22</v>
      </c>
      <c r="B965" s="7" t="s">
        <v>42</v>
      </c>
      <c r="H965" s="10" t="n">
        <f aca="false">$Y$963</f>
        <v>0.13</v>
      </c>
      <c r="I965" s="11" t="n">
        <f aca="false">IF(B965="mass",SQRT(E965*($B$2*3600)/(PI()*F965*G965)),0)</f>
        <v>0</v>
      </c>
      <c r="J965" s="10" t="n">
        <f aca="false">IF(B965="mass",D965/I965,0)</f>
        <v>0</v>
      </c>
      <c r="K965" s="7" t="str">
        <f aca="false">IF(B965="mass",COMPLEX(COSH(J965)*COS(J965),SINH(J965)*SIN(J965)),COMPLEX(1,0))</f>
        <v>1</v>
      </c>
      <c r="L965" s="7" t="str">
        <f aca="false">IF(B965="mass",COMPLEX(-I965/(2*E965)*(SINH(J965)*COS(J965)+COSH(J965)*SIN(J965)),-I965/(2*E965)*(COSH(J965)*SIN(J965)-SINH(J965)*COS(J965))),COMPLEX(-H965,0))</f>
        <v>-0.13</v>
      </c>
      <c r="M965" s="7" t="str">
        <f aca="false">IF(B965="mass",COMPLEX(-E965/I965*(SINH(J965)*COS(J965)-COSH(J965)*SIN(J965)),-E965/I965*(SINH(J965)*COS(J965)+COSH(J965)*SIN(J965))),COMPLEX(0,0))</f>
        <v>0</v>
      </c>
      <c r="N965" s="7" t="str">
        <f aca="false">K965</f>
        <v>1</v>
      </c>
      <c r="O965" s="7" t="str">
        <f aca="false">K965</f>
        <v>1</v>
      </c>
      <c r="P965" s="7" t="str">
        <f aca="false">L965</f>
        <v>-0.13</v>
      </c>
      <c r="Q965" s="7" t="str">
        <f aca="false">M965</f>
        <v>0</v>
      </c>
      <c r="R965" s="7" t="str">
        <f aca="false">N965</f>
        <v>1</v>
      </c>
      <c r="S965" s="10" t="n">
        <f aca="false">IF(B965="mass",D965/E965,H965)</f>
        <v>0.13</v>
      </c>
      <c r="T965" s="12" t="n">
        <f aca="false">IF(B965="mass",F965*G965*D965,0)</f>
        <v>0</v>
      </c>
    </row>
    <row r="966" customFormat="false" ht="15" hidden="false" customHeight="false" outlineLevel="0" collapsed="false">
      <c r="A966" s="7" t="s">
        <v>43</v>
      </c>
      <c r="B966" s="7" t="str">
        <f aca="false">IF(C966="","none",IF(C966="Cavity","res","mass"))</f>
        <v>mass</v>
      </c>
      <c r="C966" s="7" t="str">
        <f aca="false">IF(INDEX(Library!$G$5:$G$34,$U$963)="","",INDEX(Library!$G$5:$G$34,$U$963))</f>
        <v>gypsum plaster</v>
      </c>
      <c r="D966" s="11" t="n">
        <f aca="false">IF(B966="mass",INDEX(Library!$H$5:$H$34,$U$963)/1000,0)</f>
        <v>0.013</v>
      </c>
      <c r="E966" s="7" t="n">
        <f aca="false">IF(B966="mass",INDEX(Materials!$B$5:$B$28,MATCH(C966,Materials!$A$5:$A$28,0)),0)</f>
        <v>0.5</v>
      </c>
      <c r="F966" s="7" t="n">
        <f aca="false">IF(B966="mass",INDEX(Materials!$C$5:$C$28,MATCH(C966,Materials!$A$5:$A$28,0)),0)</f>
        <v>1300</v>
      </c>
      <c r="G966" s="7" t="n">
        <f aca="false">IF(B966="mass",INDEX(Materials!$D$5:$D$28,MATCH(C966,Materials!$A$5:$A$28,0)),0)</f>
        <v>1000</v>
      </c>
      <c r="H966" s="10" t="n">
        <f aca="false">IF(B966="res",INDEX(Library!$H$5:$H$34,$U$963),0)</f>
        <v>0</v>
      </c>
      <c r="I966" s="11" t="n">
        <f aca="false">IF(B966="mass",SQRT(E966*($B$2*3600)/(PI()*F966*G966)),0)</f>
        <v>0.102847860316323</v>
      </c>
      <c r="J966" s="10" t="n">
        <f aca="false">IF(B966="mass",D966/I966,0)</f>
        <v>0.126400296126887</v>
      </c>
      <c r="K966" s="7" t="str">
        <f aca="false">IF(B966="mass",COMPLEX(COSH(J966)*COS(J966),SINH(J966)*SIN(J966)),COMPLEX(1,0))</f>
        <v>0.999957455752033+0.0159769895455509i</v>
      </c>
      <c r="L966" s="7" t="str">
        <f aca="false">IF(B966="mass",COMPLEX(-I966/(2*E966)*(SINH(J966)*COS(J966)+COSH(J966)*SIN(J966)),-I966/(2*E966)*(COSH(J966)*SIN(J966)-SINH(J966)*COS(J966))),COMPLEX(-H966,0))</f>
        <v>-0.0259997787698508-0.00013846746714729i</v>
      </c>
      <c r="M966" s="7" t="str">
        <f aca="false">IF(B966="mass",COMPLEX(-E966/I966*(SINH(J966)*COS(J966)-COSH(J966)*SIN(J966)),-E966/I966*(SINH(J966)*COS(J966)+COSH(J966)*SIN(J966))),COMPLEX(0,0))</f>
        <v>0.00654526494000515-1.22899222421088i</v>
      </c>
      <c r="N966" s="7" t="str">
        <f aca="false">K966</f>
        <v>0.999957455752033+0.0159769895455509i</v>
      </c>
      <c r="O966" s="7" t="str">
        <f aca="false">IMSUM(IMPRODUCT(K966,O965),IMPRODUCT(L966,Q965))</f>
        <v>0.999957455752033+0.0159769895455509i</v>
      </c>
      <c r="P966" s="7" t="str">
        <f aca="false">IMSUM(IMPRODUCT(K966,P965),IMPRODUCT(L966,R965))</f>
        <v>-0.155994248017615-0.00221547610806891i</v>
      </c>
      <c r="Q966" s="7" t="str">
        <f aca="false">IMSUM(IMPRODUCT(M966,O965),IMPRODUCT(N966,Q965))</f>
        <v>0.00654526494000515-1.22899222421088i</v>
      </c>
      <c r="R966" s="7" t="str">
        <f aca="false">IMSUM(IMPRODUCT(M966,P965),IMPRODUCT(N966,R965))</f>
        <v>0.999106571309832+0.175745978692965i</v>
      </c>
      <c r="S966" s="10" t="n">
        <f aca="false">IF(B966="mass",D966/E966,H966)</f>
        <v>0.026</v>
      </c>
      <c r="T966" s="12" t="n">
        <f aca="false">IF(B966="mass",F966*G966*D966,0)</f>
        <v>16900</v>
      </c>
    </row>
    <row r="967" customFormat="false" ht="15" hidden="false" customHeight="false" outlineLevel="0" collapsed="false">
      <c r="A967" s="7" t="s">
        <v>44</v>
      </c>
      <c r="B967" s="7" t="str">
        <f aca="false">IF(C967="","none",IF(C967="Cavity","res","mass"))</f>
        <v>mass</v>
      </c>
      <c r="C967" s="7" t="str">
        <f aca="false">IF(INDEX(Library!$I$5:$I$34,$U$963)="","",INDEX(Library!$I$5:$I$34,$U$963))</f>
        <v>dense block</v>
      </c>
      <c r="D967" s="11" t="n">
        <f aca="false">IF(B967="mass",INDEX(Library!$J$5:$J$34,$U$963)/1000,0)</f>
        <v>0.1</v>
      </c>
      <c r="E967" s="7" t="n">
        <f aca="false">IF(B967="mass",INDEX(Materials!$B$5:$B$28,MATCH(C967,Materials!$A$5:$A$28,0)),0)</f>
        <v>1.13</v>
      </c>
      <c r="F967" s="7" t="n">
        <f aca="false">IF(B967="mass",INDEX(Materials!$C$5:$C$28,MATCH(C967,Materials!$A$5:$A$28,0)),0)</f>
        <v>2000</v>
      </c>
      <c r="G967" s="7" t="n">
        <f aca="false">IF(B967="mass",INDEX(Materials!$D$5:$D$28,MATCH(C967,Materials!$A$5:$A$28,0)),0)</f>
        <v>1000</v>
      </c>
      <c r="H967" s="10" t="n">
        <f aca="false">IF(B967="res",INDEX(Library!$J$5:$J$34,$U$963),0)</f>
        <v>0</v>
      </c>
      <c r="I967" s="11" t="n">
        <f aca="false">IF(B967="mass",SQRT(E967*($B$2*3600)/(PI()*F967*G967)),0)</f>
        <v>0.124653982703915</v>
      </c>
      <c r="J967" s="10" t="n">
        <f aca="false">IF(B967="mass",D967/I967,0)</f>
        <v>0.802220657782957</v>
      </c>
      <c r="K967" s="7" t="str">
        <f aca="false">IF(B967="mass",COMPLEX(COSH(J967)*COS(J967),SINH(J967)*SIN(J967)),COMPLEX(1,0))</f>
        <v>0.931040246556561+0.640597397168838i</v>
      </c>
      <c r="L967" s="7" t="str">
        <f aca="false">IF(B967="mass",COMPLEX(-I967/(2*E967)*(SINH(J967)*COS(J967)+COSH(J967)*SIN(J967)),-I967/(2*E967)*(COSH(J967)*SIN(J967)-SINH(J967)*COS(J967))),COMPLEX(-H967,0))</f>
        <v>-0.0872745132646335-0.0189465784438884i</v>
      </c>
      <c r="M967" s="7" t="str">
        <f aca="false">IF(B967="mass",COMPLEX(-E967/I967*(SINH(J967)*COS(J967)-COSH(J967)*SIN(J967)),-E967/I967*(SINH(J967)*COS(J967)+COSH(J967)*SIN(J967))),COMPLEX(0,0))</f>
        <v>3.11390498909631-14.3437266565329i</v>
      </c>
      <c r="N967" s="7" t="str">
        <f aca="false">K967</f>
        <v>0.931040246556561+0.640597397168838i</v>
      </c>
      <c r="O967" s="7" t="str">
        <f aca="false">IMSUM(IMPRODUCT(K967,O966),IMPRODUCT(L967,Q966))</f>
        <v>0.896909385837204+0.762581051518449i</v>
      </c>
      <c r="P967" s="7" t="str">
        <f aca="false">IMSUM(IMPRODUCT(K967,P966),IMPRODUCT(L967,R966))</f>
        <v>-0.227684449646465-0.136260002451062i</v>
      </c>
      <c r="Q967" s="7" t="str">
        <f aca="false">IMSUM(IMPRODUCT(M967,O966),IMPRODUCT(N967,Q966))</f>
        <v>4.13632520623972-15.4334139297736i</v>
      </c>
      <c r="R967" s="7" t="str">
        <f aca="false">IMSUM(IMPRODUCT(M967,P966),IMPRODUCT(N967,R966))</f>
        <v>0.300096561094385+3.03429171985891i</v>
      </c>
      <c r="S967" s="10" t="n">
        <f aca="false">IF(B967="mass",D967/E967,H967)</f>
        <v>0.088495575221239</v>
      </c>
      <c r="T967" s="12" t="n">
        <f aca="false">IF(B967="mass",F967*G967*D967,0)</f>
        <v>200000</v>
      </c>
    </row>
    <row r="968" customFormat="false" ht="15" hidden="false" customHeight="false" outlineLevel="0" collapsed="false">
      <c r="A968" s="7" t="s">
        <v>45</v>
      </c>
      <c r="B968" s="7" t="str">
        <f aca="false">IF(C968="","none",IF(C968="Cavity","res","mass"))</f>
        <v>mass</v>
      </c>
      <c r="C968" s="7" t="str">
        <f aca="false">IF(INDEX(Library!$K$5:$K$34,$U$963)="","",INDEX(Library!$K$5:$K$34,$U$963))</f>
        <v>mineral wool</v>
      </c>
      <c r="D968" s="11" t="n">
        <f aca="false">IF(B968="mass",INDEX(Library!$L$5:$L$34,$U$963)/1000,0)</f>
        <v>0.15</v>
      </c>
      <c r="E968" s="7" t="n">
        <f aca="false">IF(B968="mass",INDEX(Materials!$B$5:$B$28,MATCH(C968,Materials!$A$5:$A$28,0)),0)</f>
        <v>0.035</v>
      </c>
      <c r="F968" s="7" t="n">
        <f aca="false">IF(B968="mass",INDEX(Materials!$C$5:$C$28,MATCH(C968,Materials!$A$5:$A$28,0)),0)</f>
        <v>30</v>
      </c>
      <c r="G968" s="7" t="n">
        <f aca="false">IF(B968="mass",INDEX(Materials!$D$5:$D$28,MATCH(C968,Materials!$A$5:$A$28,0)),0)</f>
        <v>1030</v>
      </c>
      <c r="H968" s="10" t="n">
        <f aca="false">IF(B968="res",INDEX(Library!$L$5:$L$34,$U$963),0)</f>
        <v>0</v>
      </c>
      <c r="I968" s="11" t="n">
        <f aca="false">IF(B968="mass",SQRT(E968*($B$2*3600)/(PI()*F968*G968)),0)</f>
        <v>0.176496751881128</v>
      </c>
      <c r="J968" s="10" t="n">
        <f aca="false">IF(B968="mass",D968/I968,0)</f>
        <v>0.849873997120504</v>
      </c>
      <c r="K968" s="7" t="str">
        <f aca="false">IF(B968="mass",COMPLEX(COSH(J968)*COS(J968),SINH(J968)*SIN(J968)),COMPLEX(1,0))</f>
        <v>0.913158518565511+0.718100720020173i</v>
      </c>
      <c r="L968" s="7" t="str">
        <f aca="false">IF(B968="mass",COMPLEX(-I968/(2*E968)*(SINH(J968)*COS(J968)+COSH(J968)*SIN(J968)),-I968/(2*E968)*(COSH(J968)*SIN(J968)-SINH(J968)*COS(J968))),COMPLEX(-H968,0))</f>
        <v>-4.21123759620779-1.02927418634689i</v>
      </c>
      <c r="M968" s="7" t="str">
        <f aca="false">IF(B968="mass",COMPLEX(-E968/I968*(SINH(J968)*COS(J968)-COSH(J968)*SIN(J968)),-E968/I968*(SINH(J968)*COS(J968)+COSH(J968)*SIN(J968))),COMPLEX(0,0))</f>
        <v>0.0809512819555347-0.331209202129424i</v>
      </c>
      <c r="N968" s="7" t="str">
        <f aca="false">K968</f>
        <v>0.913158518565511+0.718100720020173i</v>
      </c>
      <c r="O968" s="7" t="str">
        <f aca="false">IMSUM(IMPRODUCT(K968,O967),IMPRODUCT(L968,Q967))</f>
        <v>-33.0328523398916+62.0767888768344i</v>
      </c>
      <c r="P968" s="7" t="str">
        <f aca="false">IMSUM(IMPRODUCT(K968,P967),IMPRODUCT(L968,R967))</f>
        <v>1.74927663165403-13.3749323614843i</v>
      </c>
      <c r="Q968" s="7" t="str">
        <f aca="false">IMSUM(IMPRODUCT(M968,O967),IMPRODUCT(N968,Q967))</f>
        <v>15.1850460791887-11.3581880200322i</v>
      </c>
      <c r="R968" s="7" t="str">
        <f aca="false">IMSUM(IMPRODUCT(M968,P967),IMPRODUCT(N968,R967))</f>
        <v>-1.96845325240057+3.05066965142642i</v>
      </c>
      <c r="S968" s="10" t="n">
        <f aca="false">IF(B968="mass",D968/E968,H968)</f>
        <v>4.28571428571429</v>
      </c>
      <c r="T968" s="12" t="n">
        <f aca="false">IF(B968="mass",F968*G968*D968,0)</f>
        <v>4635</v>
      </c>
    </row>
    <row r="969" customFormat="false" ht="15" hidden="false" customHeight="false" outlineLevel="0" collapsed="false">
      <c r="A969" s="7" t="s">
        <v>46</v>
      </c>
      <c r="B969" s="7" t="str">
        <f aca="false">IF(C969="","none",IF(C969="Cavity","res","mass"))</f>
        <v>mass</v>
      </c>
      <c r="C969" s="7" t="str">
        <f aca="false">IF(INDEX(Library!$M$5:$M$34,$U$963)="","",INDEX(Library!$M$5:$M$34,$U$963))</f>
        <v>brick</v>
      </c>
      <c r="D969" s="11" t="n">
        <f aca="false">IF(B969="mass",INDEX(Library!$N$5:$N$34,$U$963)/1000,0)</f>
        <v>0.102</v>
      </c>
      <c r="E969" s="7" t="n">
        <f aca="false">IF(B969="mass",INDEX(Materials!$B$5:$B$28,MATCH(C969,Materials!$A$5:$A$28,0)),0)</f>
        <v>0.77</v>
      </c>
      <c r="F969" s="7" t="n">
        <f aca="false">IF(B969="mass",INDEX(Materials!$C$5:$C$28,MATCH(C969,Materials!$A$5:$A$28,0)),0)</f>
        <v>1700</v>
      </c>
      <c r="G969" s="7" t="n">
        <f aca="false">IF(B969="mass",INDEX(Materials!$D$5:$D$28,MATCH(C969,Materials!$A$5:$A$28,0)),0)</f>
        <v>800</v>
      </c>
      <c r="H969" s="10" t="n">
        <f aca="false">IF(B969="res",INDEX(Library!$N$5:$N$34,$U$963),0)</f>
        <v>0</v>
      </c>
      <c r="I969" s="11" t="n">
        <f aca="false">IF(B969="mass",SQRT(E969*($B$2*3600)/(PI()*F969*G969)),0)</f>
        <v>0.12478369552018</v>
      </c>
      <c r="J969" s="10" t="n">
        <f aca="false">IF(B969="mass",D969/I969,0)</f>
        <v>0.81741448331689</v>
      </c>
      <c r="K969" s="7" t="str">
        <f aca="false">IF(B969="mass",COMPLEX(COSH(J969)*COS(J969),SINH(J969)*SIN(J969)),COMPLEX(1,0))</f>
        <v>0.925671349743335+0.664853161913343i</v>
      </c>
      <c r="L969" s="7" t="str">
        <f aca="false">IF(B969="mass",COMPLEX(-I969/(2*E969)*(SINH(J969)*COS(J969)+COSH(J969)*SIN(J969)),-I969/(2*E969)*(COSH(J969)*SIN(J969)-SINH(J969)*COS(J969))),COMPLEX(-H969,0))</f>
        <v>-0.130497374771535-0.0294407447988599i</v>
      </c>
      <c r="M969" s="7" t="str">
        <f aca="false">IF(B969="mass",COMPLEX(-E969/I969*(SINH(J969)*COS(J969)-COSH(J969)*SIN(J969)),-E969/I969*(SINH(J969)*COS(J969)+COSH(J969)*SIN(J969))),COMPLEX(0,0))</f>
        <v>2.24204617217389-9.93796663719564i</v>
      </c>
      <c r="N969" s="7" t="str">
        <f aca="false">K969</f>
        <v>0.925671349743335+0.664853161913343i</v>
      </c>
      <c r="O969" s="7" t="str">
        <f aca="false">IMSUM(IMPRODUCT(K969,O968),IMPRODUCT(L969,Q968))</f>
        <v>-74.1655165415243+36.5358632745572i</v>
      </c>
      <c r="P969" s="7" t="str">
        <f aca="false">IMSUM(IMPRODUCT(K969,P968),IMPRODUCT(L969,R968))</f>
        <v>10.8583133000796-11.5579312431186i</v>
      </c>
      <c r="Q969" s="7" t="str">
        <f aca="false">IMSUM(IMPRODUCT(M969,O968),IMPRODUCT(N969,Q968))</f>
        <v>564.46376597634+467.040288031813i</v>
      </c>
      <c r="R969" s="7" t="str">
        <f aca="false">IMSUM(IMPRODUCT(M969,P968),IMPRODUCT(N969,R968))</f>
        <v>-132.848060749866-45.8562835838345i</v>
      </c>
      <c r="S969" s="10" t="n">
        <f aca="false">IF(B969="mass",D969/E969,H969)</f>
        <v>0.132467532467532</v>
      </c>
      <c r="T969" s="12" t="n">
        <f aca="false">IF(B969="mass",F969*G969*D969,0)</f>
        <v>138720</v>
      </c>
    </row>
    <row r="970" customFormat="false" ht="15" hidden="false" customHeight="false" outlineLevel="0" collapsed="false">
      <c r="A970" s="7" t="s">
        <v>47</v>
      </c>
      <c r="B970" s="7" t="str">
        <f aca="false">IF(C970="","none",IF(C970="Cavity","res","mass"))</f>
        <v>none</v>
      </c>
      <c r="C970" s="7" t="str">
        <f aca="false">IF(INDEX(Library!$O$5:$O$34,$U$963)="","",INDEX(Library!$O$5:$O$34,$U$963))</f>
        <v/>
      </c>
      <c r="D970" s="11" t="n">
        <f aca="false">IF(B970="mass",INDEX(Library!$P$5:$P$34,$U$963)/1000,0)</f>
        <v>0</v>
      </c>
      <c r="E970" s="7" t="n">
        <f aca="false">IF(B970="mass",INDEX(Materials!$B$5:$B$28,MATCH(C970,Materials!$A$5:$A$28,0)),0)</f>
        <v>0</v>
      </c>
      <c r="F970" s="7" t="n">
        <f aca="false">IF(B970="mass",INDEX(Materials!$C$5:$C$28,MATCH(C970,Materials!$A$5:$A$28,0)),0)</f>
        <v>0</v>
      </c>
      <c r="G970" s="7" t="n">
        <f aca="false">IF(B970="mass",INDEX(Materials!$D$5:$D$28,MATCH(C970,Materials!$A$5:$A$28,0)),0)</f>
        <v>0</v>
      </c>
      <c r="H970" s="10" t="n">
        <f aca="false">IF(B970="res",INDEX(Library!$P$5:$P$34,$U$963),0)</f>
        <v>0</v>
      </c>
      <c r="I970" s="11" t="n">
        <f aca="false">IF(B970="mass",SQRT(E970*($B$2*3600)/(PI()*F970*G970)),0)</f>
        <v>0</v>
      </c>
      <c r="J970" s="10" t="n">
        <f aca="false">IF(B970="mass",D970/I970,0)</f>
        <v>0</v>
      </c>
      <c r="K970" s="7" t="str">
        <f aca="false">IF(B970="mass",COMPLEX(COSH(J970)*COS(J970),SINH(J970)*SIN(J970)),COMPLEX(1,0))</f>
        <v>1</v>
      </c>
      <c r="L970" s="7" t="str">
        <f aca="false">IF(B970="mass",COMPLEX(-I970/(2*E970)*(SINH(J970)*COS(J970)+COSH(J970)*SIN(J970)),-I970/(2*E970)*(COSH(J970)*SIN(J970)-SINH(J970)*COS(J970))),COMPLEX(-H970,0))</f>
        <v>-0</v>
      </c>
      <c r="M970" s="7" t="str">
        <f aca="false">IF(B970="mass",COMPLEX(-E970/I970*(SINH(J970)*COS(J970)-COSH(J970)*SIN(J970)),-E970/I970*(SINH(J970)*COS(J970)+COSH(J970)*SIN(J970))),COMPLEX(0,0))</f>
        <v>0</v>
      </c>
      <c r="N970" s="7" t="str">
        <f aca="false">K970</f>
        <v>1</v>
      </c>
      <c r="O970" s="7" t="str">
        <f aca="false">IMSUM(IMPRODUCT(K970,O969),IMPRODUCT(L970,Q969))</f>
        <v>-74.1655165415243+36.5358632745572i</v>
      </c>
      <c r="P970" s="7" t="str">
        <f aca="false">IMSUM(IMPRODUCT(K970,P969),IMPRODUCT(L970,R969))</f>
        <v>10.8583133000796-11.5579312431186i</v>
      </c>
      <c r="Q970" s="7" t="str">
        <f aca="false">IMSUM(IMPRODUCT(M970,O969),IMPRODUCT(N970,Q969))</f>
        <v>564.46376597634+467.040288031813i</v>
      </c>
      <c r="R970" s="7" t="str">
        <f aca="false">IMSUM(IMPRODUCT(M970,P969),IMPRODUCT(N970,R969))</f>
        <v>-132.848060749866-45.8562835838345i</v>
      </c>
      <c r="S970" s="10" t="n">
        <f aca="false">IF(B970="mass",D970/E970,H970)</f>
        <v>0</v>
      </c>
      <c r="T970" s="12" t="n">
        <f aca="false">IF(B970="mass",F970*G970*D970,0)</f>
        <v>0</v>
      </c>
    </row>
    <row r="971" customFormat="false" ht="15" hidden="false" customHeight="false" outlineLevel="0" collapsed="false">
      <c r="A971" s="7" t="s">
        <v>48</v>
      </c>
      <c r="B971" s="7" t="str">
        <f aca="false">IF(C971="","none",IF(C971="Cavity","res","mass"))</f>
        <v>none</v>
      </c>
      <c r="C971" s="7" t="str">
        <f aca="false">IF(INDEX(Library!$Q$5:$Q$34,$U$963)="","",INDEX(Library!$Q$5:$Q$34,$U$963))</f>
        <v/>
      </c>
      <c r="D971" s="11" t="n">
        <f aca="false">IF(B971="mass",INDEX(Library!$R$5:$R$34,$U$963)/1000,0)</f>
        <v>0</v>
      </c>
      <c r="E971" s="7" t="n">
        <f aca="false">IF(B971="mass",INDEX(Materials!$B$5:$B$28,MATCH(C971,Materials!$A$5:$A$28,0)),0)</f>
        <v>0</v>
      </c>
      <c r="F971" s="7" t="n">
        <f aca="false">IF(B971="mass",INDEX(Materials!$C$5:$C$28,MATCH(C971,Materials!$A$5:$A$28,0)),0)</f>
        <v>0</v>
      </c>
      <c r="G971" s="7" t="n">
        <f aca="false">IF(B971="mass",INDEX(Materials!$D$5:$D$28,MATCH(C971,Materials!$A$5:$A$28,0)),0)</f>
        <v>0</v>
      </c>
      <c r="H971" s="10" t="n">
        <f aca="false">IF(B971="res",INDEX(Library!$R$5:$R$34,$U$963),0)</f>
        <v>0</v>
      </c>
      <c r="I971" s="11" t="n">
        <f aca="false">IF(B971="mass",SQRT(E971*($B$2*3600)/(PI()*F971*G971)),0)</f>
        <v>0</v>
      </c>
      <c r="J971" s="10" t="n">
        <f aca="false">IF(B971="mass",D971/I971,0)</f>
        <v>0</v>
      </c>
      <c r="K971" s="7" t="str">
        <f aca="false">IF(B971="mass",COMPLEX(COSH(J971)*COS(J971),SINH(J971)*SIN(J971)),COMPLEX(1,0))</f>
        <v>1</v>
      </c>
      <c r="L971" s="7" t="str">
        <f aca="false">IF(B971="mass",COMPLEX(-I971/(2*E971)*(SINH(J971)*COS(J971)+COSH(J971)*SIN(J971)),-I971/(2*E971)*(COSH(J971)*SIN(J971)-SINH(J971)*COS(J971))),COMPLEX(-H971,0))</f>
        <v>-0</v>
      </c>
      <c r="M971" s="7" t="str">
        <f aca="false">IF(B971="mass",COMPLEX(-E971/I971*(SINH(J971)*COS(J971)-COSH(J971)*SIN(J971)),-E971/I971*(SINH(J971)*COS(J971)+COSH(J971)*SIN(J971))),COMPLEX(0,0))</f>
        <v>0</v>
      </c>
      <c r="N971" s="7" t="str">
        <f aca="false">K971</f>
        <v>1</v>
      </c>
      <c r="O971" s="7" t="str">
        <f aca="false">IMSUM(IMPRODUCT(K971,O970),IMPRODUCT(L971,Q970))</f>
        <v>-74.1655165415243+36.5358632745572i</v>
      </c>
      <c r="P971" s="7" t="str">
        <f aca="false">IMSUM(IMPRODUCT(K971,P970),IMPRODUCT(L971,R970))</f>
        <v>10.8583133000796-11.5579312431186i</v>
      </c>
      <c r="Q971" s="7" t="str">
        <f aca="false">IMSUM(IMPRODUCT(M971,O970),IMPRODUCT(N971,Q970))</f>
        <v>564.46376597634+467.040288031813i</v>
      </c>
      <c r="R971" s="7" t="str">
        <f aca="false">IMSUM(IMPRODUCT(M971,P970),IMPRODUCT(N971,R970))</f>
        <v>-132.848060749866-45.8562835838345i</v>
      </c>
      <c r="S971" s="10" t="n">
        <f aca="false">IF(B971="mass",D971/E971,H971)</f>
        <v>0</v>
      </c>
      <c r="T971" s="12" t="n">
        <f aca="false">IF(B971="mass",F971*G971*D971,0)</f>
        <v>0</v>
      </c>
    </row>
    <row r="972" customFormat="false" ht="15" hidden="false" customHeight="false" outlineLevel="0" collapsed="false">
      <c r="A972" s="7" t="s">
        <v>49</v>
      </c>
      <c r="B972" s="7" t="str">
        <f aca="false">IF(C972="","none",IF(C972="Cavity","res","mass"))</f>
        <v>none</v>
      </c>
      <c r="C972" s="7" t="str">
        <f aca="false">IF(INDEX(Library!$S$5:$S$34,$U$963)="","",INDEX(Library!$S$5:$S$34,$U$963))</f>
        <v/>
      </c>
      <c r="D972" s="11" t="n">
        <f aca="false">IF(B972="mass",INDEX(Library!$T$5:$T$34,$U$963)/1000,0)</f>
        <v>0</v>
      </c>
      <c r="E972" s="7" t="n">
        <f aca="false">IF(B972="mass",INDEX(Materials!$B$5:$B$28,MATCH(C972,Materials!$A$5:$A$28,0)),0)</f>
        <v>0</v>
      </c>
      <c r="F972" s="7" t="n">
        <f aca="false">IF(B972="mass",INDEX(Materials!$C$5:$C$28,MATCH(C972,Materials!$A$5:$A$28,0)),0)</f>
        <v>0</v>
      </c>
      <c r="G972" s="7" t="n">
        <f aca="false">IF(B972="mass",INDEX(Materials!$D$5:$D$28,MATCH(C972,Materials!$A$5:$A$28,0)),0)</f>
        <v>0</v>
      </c>
      <c r="H972" s="10" t="n">
        <f aca="false">IF(B972="res",INDEX(Library!$T$5:$T$34,$U$963),0)</f>
        <v>0</v>
      </c>
      <c r="I972" s="11" t="n">
        <f aca="false">IF(B972="mass",SQRT(E972*($B$2*3600)/(PI()*F972*G972)),0)</f>
        <v>0</v>
      </c>
      <c r="J972" s="10" t="n">
        <f aca="false">IF(B972="mass",D972/I972,0)</f>
        <v>0</v>
      </c>
      <c r="K972" s="7" t="str">
        <f aca="false">IF(B972="mass",COMPLEX(COSH(J972)*COS(J972),SINH(J972)*SIN(J972)),COMPLEX(1,0))</f>
        <v>1</v>
      </c>
      <c r="L972" s="7" t="str">
        <f aca="false">IF(B972="mass",COMPLEX(-I972/(2*E972)*(SINH(J972)*COS(J972)+COSH(J972)*SIN(J972)),-I972/(2*E972)*(COSH(J972)*SIN(J972)-SINH(J972)*COS(J972))),COMPLEX(-H972,0))</f>
        <v>-0</v>
      </c>
      <c r="M972" s="7" t="str">
        <f aca="false">IF(B972="mass",COMPLEX(-E972/I972*(SINH(J972)*COS(J972)-COSH(J972)*SIN(J972)),-E972/I972*(SINH(J972)*COS(J972)+COSH(J972)*SIN(J972))),COMPLEX(0,0))</f>
        <v>0</v>
      </c>
      <c r="N972" s="7" t="str">
        <f aca="false">K972</f>
        <v>1</v>
      </c>
      <c r="O972" s="7" t="str">
        <f aca="false">IMSUM(IMPRODUCT(K972,O971),IMPRODUCT(L972,Q971))</f>
        <v>-74.1655165415243+36.5358632745572i</v>
      </c>
      <c r="P972" s="7" t="str">
        <f aca="false">IMSUM(IMPRODUCT(K972,P971),IMPRODUCT(L972,R971))</f>
        <v>10.8583133000796-11.5579312431186i</v>
      </c>
      <c r="Q972" s="7" t="str">
        <f aca="false">IMSUM(IMPRODUCT(M972,O971),IMPRODUCT(N972,Q971))</f>
        <v>564.46376597634+467.040288031813i</v>
      </c>
      <c r="R972" s="7" t="str">
        <f aca="false">IMSUM(IMPRODUCT(M972,P971),IMPRODUCT(N972,R971))</f>
        <v>-132.848060749866-45.8562835838345i</v>
      </c>
      <c r="S972" s="10" t="n">
        <f aca="false">IF(B972="mass",D972/E972,H972)</f>
        <v>0</v>
      </c>
      <c r="T972" s="12" t="n">
        <f aca="false">IF(B972="mass",F972*G972*D972,0)</f>
        <v>0</v>
      </c>
    </row>
    <row r="973" customFormat="false" ht="15" hidden="false" customHeight="false" outlineLevel="0" collapsed="false">
      <c r="A973" s="7" t="s">
        <v>50</v>
      </c>
      <c r="B973" s="7" t="str">
        <f aca="false">IF(C973="","none",IF(C973="Cavity","res","mass"))</f>
        <v>none</v>
      </c>
      <c r="C973" s="7" t="str">
        <f aca="false">IF(INDEX(Library!$U$5:$U$34,$U$963)="","",INDEX(Library!$U$5:$U$34,$U$963))</f>
        <v/>
      </c>
      <c r="D973" s="11" t="n">
        <f aca="false">IF(B973="mass",INDEX(Library!$V$5:$V$34,$U$963)/1000,0)</f>
        <v>0</v>
      </c>
      <c r="E973" s="7" t="n">
        <f aca="false">IF(B973="mass",INDEX(Materials!$B$5:$B$28,MATCH(C973,Materials!$A$5:$A$28,0)),0)</f>
        <v>0</v>
      </c>
      <c r="F973" s="7" t="n">
        <f aca="false">IF(B973="mass",INDEX(Materials!$C$5:$C$28,MATCH(C973,Materials!$A$5:$A$28,0)),0)</f>
        <v>0</v>
      </c>
      <c r="G973" s="7" t="n">
        <f aca="false">IF(B973="mass",INDEX(Materials!$D$5:$D$28,MATCH(C973,Materials!$A$5:$A$28,0)),0)</f>
        <v>0</v>
      </c>
      <c r="H973" s="10" t="n">
        <f aca="false">IF(B973="res",INDEX(Library!$V$5:$V$34,$U$963),0)</f>
        <v>0</v>
      </c>
      <c r="I973" s="11" t="n">
        <f aca="false">IF(B973="mass",SQRT(E973*($B$2*3600)/(PI()*F973*G973)),0)</f>
        <v>0</v>
      </c>
      <c r="J973" s="10" t="n">
        <f aca="false">IF(B973="mass",D973/I973,0)</f>
        <v>0</v>
      </c>
      <c r="K973" s="7" t="str">
        <f aca="false">IF(B973="mass",COMPLEX(COSH(J973)*COS(J973),SINH(J973)*SIN(J973)),COMPLEX(1,0))</f>
        <v>1</v>
      </c>
      <c r="L973" s="7" t="str">
        <f aca="false">IF(B973="mass",COMPLEX(-I973/(2*E973)*(SINH(J973)*COS(J973)+COSH(J973)*SIN(J973)),-I973/(2*E973)*(COSH(J973)*SIN(J973)-SINH(J973)*COS(J973))),COMPLEX(-H973,0))</f>
        <v>-0</v>
      </c>
      <c r="M973" s="7" t="str">
        <f aca="false">IF(B973="mass",COMPLEX(-E973/I973*(SINH(J973)*COS(J973)-COSH(J973)*SIN(J973)),-E973/I973*(SINH(J973)*COS(J973)+COSH(J973)*SIN(J973))),COMPLEX(0,0))</f>
        <v>0</v>
      </c>
      <c r="N973" s="7" t="str">
        <f aca="false">K973</f>
        <v>1</v>
      </c>
      <c r="O973" s="7" t="str">
        <f aca="false">IMSUM(IMPRODUCT(K973,O972),IMPRODUCT(L973,Q972))</f>
        <v>-74.1655165415243+36.5358632745572i</v>
      </c>
      <c r="P973" s="7" t="str">
        <f aca="false">IMSUM(IMPRODUCT(K973,P972),IMPRODUCT(L973,R972))</f>
        <v>10.8583133000796-11.5579312431186i</v>
      </c>
      <c r="Q973" s="7" t="str">
        <f aca="false">IMSUM(IMPRODUCT(M973,O972),IMPRODUCT(N973,Q972))</f>
        <v>564.46376597634+467.040288031813i</v>
      </c>
      <c r="R973" s="7" t="str">
        <f aca="false">IMSUM(IMPRODUCT(M973,P972),IMPRODUCT(N973,R972))</f>
        <v>-132.848060749866-45.8562835838345i</v>
      </c>
      <c r="S973" s="10" t="n">
        <f aca="false">IF(B973="mass",D973/E973,H973)</f>
        <v>0</v>
      </c>
      <c r="T973" s="12" t="n">
        <f aca="false">IF(B973="mass",F973*G973*D973,0)</f>
        <v>0</v>
      </c>
    </row>
    <row r="974" customFormat="false" ht="15" hidden="false" customHeight="false" outlineLevel="0" collapsed="false">
      <c r="A974" s="7" t="s">
        <v>51</v>
      </c>
      <c r="B974" s="7" t="str">
        <f aca="false">IF($W$963="ground","mass",IF($W$963="adiabatic","res","none"))</f>
        <v>none</v>
      </c>
      <c r="C974" s="7" t="str">
        <f aca="false">IF($W$963="ground","clay soil","")</f>
        <v/>
      </c>
      <c r="D974" s="11" t="n">
        <f aca="false">IF(B974="mass",1,0)</f>
        <v>0</v>
      </c>
      <c r="E974" s="7" t="n">
        <f aca="false">IF(B974="mass",INDEX(Materials!$B$5:$B$28,MATCH(C974,Materials!$A$5:$A$28,0)),0)</f>
        <v>0</v>
      </c>
      <c r="F974" s="7" t="n">
        <f aca="false">IF(B974="mass",INDEX(Materials!$C$5:$C$28,MATCH(C974,Materials!$A$5:$A$28,0)),0)</f>
        <v>0</v>
      </c>
      <c r="G974" s="7" t="n">
        <f aca="false">IF(B974="mass",INDEX(Materials!$D$5:$D$28,MATCH(C974,Materials!$A$5:$A$28,0)),0)</f>
        <v>0</v>
      </c>
      <c r="H974" s="12" t="n">
        <f aca="false">IF(B974="res",1000000,0)</f>
        <v>0</v>
      </c>
      <c r="I974" s="11" t="n">
        <f aca="false">IF(B974="mass",SQRT(E974*($B$2*3600)/(PI()*F974*G974)),0)</f>
        <v>0</v>
      </c>
      <c r="J974" s="10" t="n">
        <f aca="false">IF(B974="mass",D974/I974,0)</f>
        <v>0</v>
      </c>
      <c r="K974" s="7" t="str">
        <f aca="false">IF(B974="mass",COMPLEX(COSH(J974)*COS(J974),SINH(J974)*SIN(J974)),COMPLEX(1,0))</f>
        <v>1</v>
      </c>
      <c r="L974" s="7" t="str">
        <f aca="false">IF(B974="mass",COMPLEX(-I974/(2*E974)*(SINH(J974)*COS(J974)+COSH(J974)*SIN(J974)),-I974/(2*E974)*(COSH(J974)*SIN(J974)-SINH(J974)*COS(J974))),COMPLEX(-H974,0))</f>
        <v>-0</v>
      </c>
      <c r="M974" s="7" t="str">
        <f aca="false">IF(B974="mass",COMPLEX(-E974/I974*(SINH(J974)*COS(J974)-COSH(J974)*SIN(J974)),-E974/I974*(SINH(J974)*COS(J974)+COSH(J974)*SIN(J974))),COMPLEX(0,0))</f>
        <v>0</v>
      </c>
      <c r="N974" s="7" t="str">
        <f aca="false">K974</f>
        <v>1</v>
      </c>
      <c r="O974" s="7" t="str">
        <f aca="false">IMSUM(IMPRODUCT(K974,O973),IMPRODUCT(L974,Q973))</f>
        <v>-74.1655165415243+36.5358632745572i</v>
      </c>
      <c r="P974" s="7" t="str">
        <f aca="false">IMSUM(IMPRODUCT(K974,P973),IMPRODUCT(L974,R973))</f>
        <v>10.8583133000796-11.5579312431186i</v>
      </c>
      <c r="Q974" s="7" t="str">
        <f aca="false">IMSUM(IMPRODUCT(M974,O973),IMPRODUCT(N974,Q973))</f>
        <v>564.46376597634+467.040288031813i</v>
      </c>
      <c r="R974" s="7" t="str">
        <f aca="false">IMSUM(IMPRODUCT(M974,P973),IMPRODUCT(N974,R973))</f>
        <v>-132.848060749866-45.8562835838345i</v>
      </c>
      <c r="S974" s="10" t="n">
        <f aca="false">IF(B974="mass",D974/E974,H974)</f>
        <v>0</v>
      </c>
      <c r="T974" s="12" t="n">
        <f aca="false">IF(B974="mass",F974*G974*D974,0)</f>
        <v>0</v>
      </c>
    </row>
    <row r="975" customFormat="false" ht="15" hidden="false" customHeight="false" outlineLevel="0" collapsed="false">
      <c r="A975" s="7" t="s">
        <v>52</v>
      </c>
      <c r="B975" s="7" t="s">
        <v>42</v>
      </c>
      <c r="H975" s="10" t="n">
        <f aca="false">IF($W$963="ext",0.04,IF($W$963="room",$Y$963,0))</f>
        <v>0.04</v>
      </c>
      <c r="I975" s="11" t="n">
        <f aca="false">IF(B975="mass",SQRT(E975*($B$2*3600)/(PI()*F975*G975)),0)</f>
        <v>0</v>
      </c>
      <c r="J975" s="10" t="n">
        <f aca="false">IF(B975="mass",D975/I975,0)</f>
        <v>0</v>
      </c>
      <c r="K975" s="7" t="str">
        <f aca="false">IF(B975="mass",COMPLEX(COSH(J975)*COS(J975),SINH(J975)*SIN(J975)),COMPLEX(1,0))</f>
        <v>1</v>
      </c>
      <c r="L975" s="7" t="str">
        <f aca="false">IF(B975="mass",COMPLEX(-I975/(2*E975)*(SINH(J975)*COS(J975)+COSH(J975)*SIN(J975)),-I975/(2*E975)*(COSH(J975)*SIN(J975)-SINH(J975)*COS(J975))),COMPLEX(-H975,0))</f>
        <v>-0.04</v>
      </c>
      <c r="M975" s="7" t="str">
        <f aca="false">IF(B975="mass",COMPLEX(-E975/I975*(SINH(J975)*COS(J975)-COSH(J975)*SIN(J975)),-E975/I975*(SINH(J975)*COS(J975)+COSH(J975)*SIN(J975))),COMPLEX(0,0))</f>
        <v>0</v>
      </c>
      <c r="N975" s="7" t="str">
        <f aca="false">K975</f>
        <v>1</v>
      </c>
      <c r="O975" s="7" t="str">
        <f aca="false">IMSUM(IMPRODUCT(K975,O974),IMPRODUCT(L975,Q974))</f>
        <v>-96.7440671805779+17.8542517532847i</v>
      </c>
      <c r="P975" s="7" t="str">
        <f aca="false">IMSUM(IMPRODUCT(K975,P974),IMPRODUCT(L975,R974))</f>
        <v>16.1722357300742-9.72367989976522i</v>
      </c>
      <c r="Q975" s="7" t="str">
        <f aca="false">IMSUM(IMPRODUCT(M975,O974),IMPRODUCT(N975,Q974))</f>
        <v>564.46376597634+467.040288031813i</v>
      </c>
      <c r="R975" s="7" t="str">
        <f aca="false">IMSUM(IMPRODUCT(M975,P974),IMPRODUCT(N975,R974))</f>
        <v>-132.848060749866-45.8562835838345i</v>
      </c>
      <c r="S975" s="10" t="n">
        <f aca="false">IF(B975="mass",D975/E975,H975)</f>
        <v>0.04</v>
      </c>
      <c r="T975" s="12" t="n">
        <f aca="false">IF(B975="mass",F975*G975*D975,0)</f>
        <v>0</v>
      </c>
    </row>
    <row r="976" customFormat="false" ht="15" hidden="false" customHeight="false" outlineLevel="0" collapsed="false">
      <c r="A976" s="9" t="s">
        <v>53</v>
      </c>
      <c r="B976" s="13" t="n">
        <f aca="false">IF(OR($W$963="ext",$W$963="ground"),1/SUM(S965:S975),"–")</f>
        <v>0.212644822586131</v>
      </c>
      <c r="C976" s="9" t="s">
        <v>54</v>
      </c>
      <c r="D976" s="13" t="n">
        <f aca="false">IMABS(IMDIV(IMPRODUCT(O975,COMPLEX(-1,0)),P975))</f>
        <v>5.21334481066688</v>
      </c>
      <c r="E976" s="9" t="s">
        <v>55</v>
      </c>
      <c r="F976" s="14" t="n">
        <f aca="false">IMARGUMENT(IMDIV(IMPRODUCT(O975,COMPLEX(-1,0)),P975))*$B$2/(2*PI())</f>
        <v>1.37068976369534</v>
      </c>
      <c r="G976" s="9" t="s">
        <v>56</v>
      </c>
      <c r="H976" s="13" t="n">
        <f aca="false">IF($W$963="ext",IMABS(IMDIV(COMPLEX(-1,0),P975))*SUM(S965:S975),"–")</f>
        <v>0.249209498438484</v>
      </c>
      <c r="I976" s="9" t="s">
        <v>57</v>
      </c>
      <c r="J976" s="14" t="n">
        <f aca="false">IF($W$963="ext",MOD(-IMARGUMENT(IMDIV(COMPLEX(-1,0),P975))*$B$2/(2*PI()),24),"–")</f>
        <v>9.93221936308962</v>
      </c>
      <c r="K976" s="9" t="s">
        <v>58</v>
      </c>
      <c r="L976" s="15" t="n">
        <f aca="false">($B$2*3600)/(2*PI())*IMABS(IMDIV(IMSUB(O975,COMPLEX(1,0)),P975))/1000</f>
        <v>72.4053641522981</v>
      </c>
      <c r="M976" s="9" t="s">
        <v>59</v>
      </c>
      <c r="N976" s="15" t="n">
        <f aca="false">SUM(T966:T973)/1000</f>
        <v>360.255</v>
      </c>
      <c r="O976" s="9" t="s">
        <v>60</v>
      </c>
      <c r="P976" s="16" t="n">
        <f aca="false">SUM(S966:S973)</f>
        <v>4.53267739340306</v>
      </c>
    </row>
    <row r="978" customFormat="false" ht="15" hidden="false" customHeight="false" outlineLevel="0" collapsed="false">
      <c r="A978" s="4" t="s">
        <v>161</v>
      </c>
    </row>
    <row r="979" customFormat="false" ht="15" hidden="false" customHeight="false" outlineLevel="0" collapsed="false">
      <c r="A979" s="9"/>
      <c r="B979" s="9" t="s">
        <v>62</v>
      </c>
      <c r="C979" s="9" t="s">
        <v>63</v>
      </c>
      <c r="D979" s="9"/>
      <c r="E979" s="9"/>
      <c r="F979" s="9"/>
      <c r="G979" s="9"/>
      <c r="H979" s="9"/>
      <c r="I979" s="9"/>
      <c r="J979" s="9"/>
      <c r="K979" s="9" t="s">
        <v>32</v>
      </c>
      <c r="L979" s="9" t="s">
        <v>33</v>
      </c>
      <c r="M979" s="9" t="s">
        <v>34</v>
      </c>
      <c r="N979" s="9" t="s">
        <v>35</v>
      </c>
      <c r="O979" s="9" t="s">
        <v>36</v>
      </c>
      <c r="P979" s="9" t="s">
        <v>37</v>
      </c>
      <c r="Q979" s="9" t="s">
        <v>38</v>
      </c>
      <c r="R979" s="9" t="s">
        <v>39</v>
      </c>
    </row>
    <row r="980" customFormat="false" ht="15" hidden="false" customHeight="false" outlineLevel="0" collapsed="false">
      <c r="A980" s="7" t="s">
        <v>22</v>
      </c>
      <c r="B980" s="7" t="s">
        <v>42</v>
      </c>
      <c r="C980" s="10" t="n">
        <f aca="false">$Y$963</f>
        <v>0.13</v>
      </c>
      <c r="K980" s="7" t="str">
        <f aca="false">COMPLEX(1,0)</f>
        <v>1</v>
      </c>
      <c r="L980" s="7" t="str">
        <f aca="false">COMPLEX(-C980,0)</f>
        <v>-0.13</v>
      </c>
      <c r="M980" s="7" t="str">
        <f aca="false">COMPLEX(0,0)</f>
        <v>0</v>
      </c>
      <c r="N980" s="7" t="str">
        <f aca="false">COMPLEX(1,0)</f>
        <v>1</v>
      </c>
      <c r="O980" s="7" t="str">
        <f aca="false">K980</f>
        <v>1</v>
      </c>
      <c r="P980" s="7" t="str">
        <f aca="false">L980</f>
        <v>-0.13</v>
      </c>
      <c r="Q980" s="7" t="str">
        <f aca="false">M980</f>
        <v>0</v>
      </c>
      <c r="R980" s="7" t="str">
        <f aca="false">N980</f>
        <v>1</v>
      </c>
    </row>
    <row r="981" customFormat="false" ht="15" hidden="false" customHeight="false" outlineLevel="0" collapsed="false">
      <c r="A981" s="7" t="s">
        <v>64</v>
      </c>
      <c r="B981" s="7" t="s">
        <v>65</v>
      </c>
      <c r="C981" s="10" t="n">
        <f aca="false">INDEX(Classes!$B$5:$F$9,MATCH(Engine!$C$962,Classes!$A$5:$A$9,0),5)*(N976*1000)</f>
        <v>180127.5</v>
      </c>
      <c r="K981" s="7" t="str">
        <f aca="false">COMPLEX(1,0)</f>
        <v>1</v>
      </c>
      <c r="L981" s="7" t="str">
        <f aca="false">COMPLEX(0,0)</f>
        <v>0</v>
      </c>
      <c r="M981" s="7" t="str">
        <f aca="false">COMPLEX(0,-(2*PI()/($B$2*3600))*C981)</f>
        <v>-13.0992414516087i</v>
      </c>
      <c r="N981" s="7" t="str">
        <f aca="false">COMPLEX(1,0)</f>
        <v>1</v>
      </c>
      <c r="O981" s="7" t="str">
        <f aca="false">IMSUM(IMPRODUCT(K981,O980),IMPRODUCT(L981,Q980))</f>
        <v>1</v>
      </c>
      <c r="P981" s="7" t="str">
        <f aca="false">IMSUM(IMPRODUCT(K981,P980),IMPRODUCT(L981,R980))</f>
        <v>-0.13</v>
      </c>
      <c r="Q981" s="7" t="str">
        <f aca="false">IMSUM(IMPRODUCT(M981,O980),IMPRODUCT(N981,Q980))</f>
        <v>-13.0992414516087i</v>
      </c>
      <c r="R981" s="7" t="str">
        <f aca="false">IMSUM(IMPRODUCT(M981,P980),IMPRODUCT(N981,R980))</f>
        <v>1+1.70290138870913i</v>
      </c>
    </row>
    <row r="982" customFormat="false" ht="15" hidden="false" customHeight="false" outlineLevel="0" collapsed="false">
      <c r="A982" s="7" t="s">
        <v>66</v>
      </c>
      <c r="B982" s="7" t="s">
        <v>42</v>
      </c>
      <c r="C982" s="10" t="n">
        <f aca="false">P976/6</f>
        <v>0.755446232233843</v>
      </c>
      <c r="K982" s="7" t="str">
        <f aca="false">COMPLEX(1,0)</f>
        <v>1</v>
      </c>
      <c r="L982" s="7" t="str">
        <f aca="false">COMPLEX(-C982,0)</f>
        <v>-0.755446232233843</v>
      </c>
      <c r="M982" s="7" t="str">
        <f aca="false">COMPLEX(0,0)</f>
        <v>0</v>
      </c>
      <c r="N982" s="7" t="str">
        <f aca="false">COMPLEX(1,0)</f>
        <v>1</v>
      </c>
      <c r="O982" s="7" t="str">
        <f aca="false">IMSUM(IMPRODUCT(K982,O981),IMPRODUCT(L982,Q981))</f>
        <v>1+9.89577259973917i</v>
      </c>
      <c r="P982" s="7" t="str">
        <f aca="false">IMSUM(IMPRODUCT(K982,P981),IMPRODUCT(L982,R981))</f>
        <v>-0.885446232233843-1.28645043796609i</v>
      </c>
      <c r="Q982" s="7" t="str">
        <f aca="false">IMSUM(IMPRODUCT(M982,O981),IMPRODUCT(N982,Q981))</f>
        <v>-13.0992414516087i</v>
      </c>
      <c r="R982" s="7" t="str">
        <f aca="false">IMSUM(IMPRODUCT(M982,P981),IMPRODUCT(N982,R981))</f>
        <v>1+1.70290138870913i</v>
      </c>
    </row>
    <row r="983" customFormat="false" ht="15" hidden="false" customHeight="false" outlineLevel="0" collapsed="false">
      <c r="A983" s="7" t="s">
        <v>67</v>
      </c>
      <c r="B983" s="7" t="s">
        <v>65</v>
      </c>
      <c r="C983" s="10" t="n">
        <f aca="false">INDEX(Classes!$B$5:$F$9,MATCH(Engine!$C$962,Classes!$A$5:$A$9,0),4)*(N976*1000)</f>
        <v>0</v>
      </c>
      <c r="K983" s="7" t="str">
        <f aca="false">COMPLEX(1,0)</f>
        <v>1</v>
      </c>
      <c r="L983" s="7" t="str">
        <f aca="false">COMPLEX(0,0)</f>
        <v>0</v>
      </c>
      <c r="M983" s="7" t="str">
        <f aca="false">COMPLEX(0,-(2*PI()/($B$2*3600))*C983)</f>
        <v>0</v>
      </c>
      <c r="N983" s="7" t="str">
        <f aca="false">COMPLEX(1,0)</f>
        <v>1</v>
      </c>
      <c r="O983" s="7" t="str">
        <f aca="false">IMSUM(IMPRODUCT(K983,O982),IMPRODUCT(L983,Q982))</f>
        <v>1+9.89577259973917i</v>
      </c>
      <c r="P983" s="7" t="str">
        <f aca="false">IMSUM(IMPRODUCT(K983,P982),IMPRODUCT(L983,R982))</f>
        <v>-0.885446232233843-1.28645043796609i</v>
      </c>
      <c r="Q983" s="7" t="str">
        <f aca="false">IMSUM(IMPRODUCT(M983,O982),IMPRODUCT(N983,Q982))</f>
        <v>-13.0992414516087i</v>
      </c>
      <c r="R983" s="7" t="str">
        <f aca="false">IMSUM(IMPRODUCT(M983,P982),IMPRODUCT(N983,R982))</f>
        <v>1+1.70290138870913i</v>
      </c>
    </row>
    <row r="984" customFormat="false" ht="15" hidden="false" customHeight="false" outlineLevel="0" collapsed="false">
      <c r="A984" s="7" t="s">
        <v>68</v>
      </c>
      <c r="B984" s="7" t="s">
        <v>42</v>
      </c>
      <c r="C984" s="10" t="n">
        <f aca="false">P976/3</f>
        <v>1.51089246446769</v>
      </c>
      <c r="K984" s="7" t="str">
        <f aca="false">COMPLEX(1,0)</f>
        <v>1</v>
      </c>
      <c r="L984" s="7" t="str">
        <f aca="false">COMPLEX(-C984,0)</f>
        <v>-1.51089246446769</v>
      </c>
      <c r="M984" s="7" t="str">
        <f aca="false">COMPLEX(0,0)</f>
        <v>0</v>
      </c>
      <c r="N984" s="7" t="str">
        <f aca="false">COMPLEX(1,0)</f>
        <v>1</v>
      </c>
      <c r="O984" s="7" t="str">
        <f aca="false">IMSUM(IMPRODUCT(K984,O983),IMPRODUCT(L984,Q983))</f>
        <v>1+29.6873177992176i</v>
      </c>
      <c r="P984" s="7" t="str">
        <f aca="false">IMSUM(IMPRODUCT(K984,P983),IMPRODUCT(L984,R983))</f>
        <v>-2.39633869670153-3.85935131389828i</v>
      </c>
      <c r="Q984" s="7" t="str">
        <f aca="false">IMSUM(IMPRODUCT(M984,O983),IMPRODUCT(N984,Q983))</f>
        <v>-13.0992414516087i</v>
      </c>
      <c r="R984" s="7" t="str">
        <f aca="false">IMSUM(IMPRODUCT(M984,P983),IMPRODUCT(N984,R983))</f>
        <v>1+1.70290138870913i</v>
      </c>
    </row>
    <row r="985" customFormat="false" ht="15" hidden="false" customHeight="false" outlineLevel="0" collapsed="false">
      <c r="A985" s="7" t="s">
        <v>69</v>
      </c>
      <c r="B985" s="7" t="s">
        <v>65</v>
      </c>
      <c r="C985" s="10" t="n">
        <f aca="false">INDEX(Classes!$B$5:$F$9,MATCH(Engine!$C$962,Classes!$A$5:$A$9,0),3)*(N976*1000)</f>
        <v>0</v>
      </c>
      <c r="K985" s="7" t="str">
        <f aca="false">COMPLEX(1,0)</f>
        <v>1</v>
      </c>
      <c r="L985" s="7" t="str">
        <f aca="false">COMPLEX(0,0)</f>
        <v>0</v>
      </c>
      <c r="M985" s="7" t="str">
        <f aca="false">COMPLEX(0,-(2*PI()/($B$2*3600))*C985)</f>
        <v>0</v>
      </c>
      <c r="N985" s="7" t="str">
        <f aca="false">COMPLEX(1,0)</f>
        <v>1</v>
      </c>
      <c r="O985" s="7" t="str">
        <f aca="false">IMSUM(IMPRODUCT(K985,O984),IMPRODUCT(L985,Q984))</f>
        <v>1+29.6873177992176i</v>
      </c>
      <c r="P985" s="7" t="str">
        <f aca="false">IMSUM(IMPRODUCT(K985,P984),IMPRODUCT(L985,R984))</f>
        <v>-2.39633869670153-3.85935131389828i</v>
      </c>
      <c r="Q985" s="7" t="str">
        <f aca="false">IMSUM(IMPRODUCT(M985,O984),IMPRODUCT(N985,Q984))</f>
        <v>-13.0992414516087i</v>
      </c>
      <c r="R985" s="7" t="str">
        <f aca="false">IMSUM(IMPRODUCT(M985,P984),IMPRODUCT(N985,R984))</f>
        <v>1+1.70290138870913i</v>
      </c>
    </row>
    <row r="986" customFormat="false" ht="15" hidden="false" customHeight="false" outlineLevel="0" collapsed="false">
      <c r="A986" s="7" t="s">
        <v>68</v>
      </c>
      <c r="B986" s="7" t="s">
        <v>42</v>
      </c>
      <c r="C986" s="10" t="n">
        <f aca="false">P976/3</f>
        <v>1.51089246446769</v>
      </c>
      <c r="K986" s="7" t="str">
        <f aca="false">COMPLEX(1,0)</f>
        <v>1</v>
      </c>
      <c r="L986" s="7" t="str">
        <f aca="false">COMPLEX(-C986,0)</f>
        <v>-1.51089246446769</v>
      </c>
      <c r="M986" s="7" t="str">
        <f aca="false">COMPLEX(0,0)</f>
        <v>0</v>
      </c>
      <c r="N986" s="7" t="str">
        <f aca="false">COMPLEX(1,0)</f>
        <v>1</v>
      </c>
      <c r="O986" s="7" t="str">
        <f aca="false">IMSUM(IMPRODUCT(K986,O985),IMPRODUCT(L986,Q985))</f>
        <v>1+49.478862998696i</v>
      </c>
      <c r="P986" s="7" t="str">
        <f aca="false">IMSUM(IMPRODUCT(K986,P985),IMPRODUCT(L986,R985))</f>
        <v>-3.90723116116922-6.43225218983047i</v>
      </c>
      <c r="Q986" s="7" t="str">
        <f aca="false">IMSUM(IMPRODUCT(M986,O985),IMPRODUCT(N986,Q985))</f>
        <v>-13.0992414516087i</v>
      </c>
      <c r="R986" s="7" t="str">
        <f aca="false">IMSUM(IMPRODUCT(M986,P985),IMPRODUCT(N986,R985))</f>
        <v>1+1.70290138870913i</v>
      </c>
    </row>
    <row r="987" customFormat="false" ht="15" hidden="false" customHeight="false" outlineLevel="0" collapsed="false">
      <c r="A987" s="7" t="s">
        <v>70</v>
      </c>
      <c r="B987" s="7" t="s">
        <v>65</v>
      </c>
      <c r="C987" s="10" t="n">
        <f aca="false">INDEX(Classes!$B$5:$F$9,MATCH(Engine!$C$962,Classes!$A$5:$A$9,0),2)*(N976*1000)</f>
        <v>0</v>
      </c>
      <c r="K987" s="7" t="str">
        <f aca="false">COMPLEX(1,0)</f>
        <v>1</v>
      </c>
      <c r="L987" s="7" t="str">
        <f aca="false">COMPLEX(0,0)</f>
        <v>0</v>
      </c>
      <c r="M987" s="7" t="str">
        <f aca="false">COMPLEX(0,-(2*PI()/($B$2*3600))*C987)</f>
        <v>0</v>
      </c>
      <c r="N987" s="7" t="str">
        <f aca="false">COMPLEX(1,0)</f>
        <v>1</v>
      </c>
      <c r="O987" s="7" t="str">
        <f aca="false">IMSUM(IMPRODUCT(K987,O986),IMPRODUCT(L987,Q986))</f>
        <v>1+49.478862998696i</v>
      </c>
      <c r="P987" s="7" t="str">
        <f aca="false">IMSUM(IMPRODUCT(K987,P986),IMPRODUCT(L987,R986))</f>
        <v>-3.90723116116922-6.43225218983047i</v>
      </c>
      <c r="Q987" s="7" t="str">
        <f aca="false">IMSUM(IMPRODUCT(M987,O986),IMPRODUCT(N987,Q986))</f>
        <v>-13.0992414516087i</v>
      </c>
      <c r="R987" s="7" t="str">
        <f aca="false">IMSUM(IMPRODUCT(M987,P986),IMPRODUCT(N987,R986))</f>
        <v>1+1.70290138870913i</v>
      </c>
    </row>
    <row r="988" customFormat="false" ht="15" hidden="false" customHeight="false" outlineLevel="0" collapsed="false">
      <c r="A988" s="7" t="s">
        <v>66</v>
      </c>
      <c r="B988" s="7" t="s">
        <v>42</v>
      </c>
      <c r="C988" s="10" t="n">
        <f aca="false">P976/6</f>
        <v>0.755446232233843</v>
      </c>
      <c r="K988" s="7" t="str">
        <f aca="false">COMPLEX(1,0)</f>
        <v>1</v>
      </c>
      <c r="L988" s="7" t="str">
        <f aca="false">COMPLEX(-C988,0)</f>
        <v>-0.755446232233843</v>
      </c>
      <c r="M988" s="7" t="str">
        <f aca="false">COMPLEX(0,0)</f>
        <v>0</v>
      </c>
      <c r="N988" s="7" t="str">
        <f aca="false">COMPLEX(1,0)</f>
        <v>1</v>
      </c>
      <c r="O988" s="7" t="str">
        <f aca="false">IMSUM(IMPRODUCT(K988,O987),IMPRODUCT(L988,Q987))</f>
        <v>1+59.3746355984352i</v>
      </c>
      <c r="P988" s="7" t="str">
        <f aca="false">IMSUM(IMPRODUCT(K988,P987),IMPRODUCT(L988,R987))</f>
        <v>-4.66267739340306-7.71870262779656i</v>
      </c>
      <c r="Q988" s="7" t="str">
        <f aca="false">IMSUM(IMPRODUCT(M988,O987),IMPRODUCT(N988,Q987))</f>
        <v>-13.0992414516087i</v>
      </c>
      <c r="R988" s="7" t="str">
        <f aca="false">IMSUM(IMPRODUCT(M988,P987),IMPRODUCT(N988,R987))</f>
        <v>1+1.70290138870913i</v>
      </c>
    </row>
    <row r="989" customFormat="false" ht="15" hidden="false" customHeight="false" outlineLevel="0" collapsed="false">
      <c r="A989" s="7" t="s">
        <v>71</v>
      </c>
      <c r="B989" s="7" t="s">
        <v>65</v>
      </c>
      <c r="C989" s="10" t="n">
        <f aca="false">INDEX(Classes!$B$5:$F$9,MATCH(Engine!$C$962,Classes!$A$5:$A$9,0),1)*(N976*1000)</f>
        <v>180127.5</v>
      </c>
      <c r="K989" s="7" t="str">
        <f aca="false">COMPLEX(1,0)</f>
        <v>1</v>
      </c>
      <c r="L989" s="7" t="str">
        <f aca="false">COMPLEX(0,0)</f>
        <v>0</v>
      </c>
      <c r="M989" s="7" t="str">
        <f aca="false">COMPLEX(0,-(2*PI()/($B$2*3600))*C989)</f>
        <v>-13.0992414516087i</v>
      </c>
      <c r="N989" s="7" t="str">
        <f aca="false">COMPLEX(1,0)</f>
        <v>1</v>
      </c>
      <c r="O989" s="7" t="str">
        <f aca="false">IMSUM(IMPRODUCT(K989,O988),IMPRODUCT(L989,Q988))</f>
        <v>1+59.3746355984352i</v>
      </c>
      <c r="P989" s="7" t="str">
        <f aca="false">IMSUM(IMPRODUCT(K989,P988),IMPRODUCT(L989,R988))</f>
        <v>-4.66267739340306-7.71870262779656i</v>
      </c>
      <c r="Q989" s="7" t="str">
        <f aca="false">IMSUM(IMPRODUCT(M989,O988),IMPRODUCT(N989,Q988))</f>
        <v>777.762687805184-26.1984829032174i</v>
      </c>
      <c r="R989" s="7" t="str">
        <f aca="false">IMSUM(IMPRODUCT(M989,P988),IMPRODUCT(N989,R988))</f>
        <v>-100.109149414674+62.7804383758533i</v>
      </c>
    </row>
    <row r="990" customFormat="false" ht="15" hidden="false" customHeight="false" outlineLevel="0" collapsed="false">
      <c r="A990" s="7" t="s">
        <v>72</v>
      </c>
      <c r="B990" s="7" t="s">
        <v>73</v>
      </c>
      <c r="K990" s="7" t="str">
        <f aca="false">K974</f>
        <v>1</v>
      </c>
      <c r="L990" s="7" t="str">
        <f aca="false">L974</f>
        <v>-0</v>
      </c>
      <c r="M990" s="7" t="str">
        <f aca="false">M974</f>
        <v>0</v>
      </c>
      <c r="N990" s="7" t="str">
        <f aca="false">N974</f>
        <v>1</v>
      </c>
      <c r="O990" s="7" t="str">
        <f aca="false">IMSUM(IMPRODUCT(K990,O989),IMPRODUCT(L990,Q989))</f>
        <v>1+59.3746355984352i</v>
      </c>
      <c r="P990" s="7" t="str">
        <f aca="false">IMSUM(IMPRODUCT(K990,P989),IMPRODUCT(L990,R989))</f>
        <v>-4.66267739340306-7.71870262779656i</v>
      </c>
      <c r="Q990" s="7" t="str">
        <f aca="false">IMSUM(IMPRODUCT(M990,O989),IMPRODUCT(N990,Q989))</f>
        <v>777.762687805184-26.1984829032174i</v>
      </c>
      <c r="R990" s="7" t="str">
        <f aca="false">IMSUM(IMPRODUCT(M990,P989),IMPRODUCT(N990,R989))</f>
        <v>-100.109149414674+62.7804383758533i</v>
      </c>
    </row>
    <row r="991" customFormat="false" ht="15" hidden="false" customHeight="false" outlineLevel="0" collapsed="false">
      <c r="A991" s="7" t="s">
        <v>52</v>
      </c>
      <c r="B991" s="7" t="s">
        <v>73</v>
      </c>
      <c r="K991" s="7" t="str">
        <f aca="false">K975</f>
        <v>1</v>
      </c>
      <c r="L991" s="7" t="str">
        <f aca="false">L975</f>
        <v>-0.04</v>
      </c>
      <c r="M991" s="7" t="str">
        <f aca="false">M975</f>
        <v>0</v>
      </c>
      <c r="N991" s="7" t="str">
        <f aca="false">N975</f>
        <v>1</v>
      </c>
      <c r="O991" s="7" t="str">
        <f aca="false">IMSUM(IMPRODUCT(K991,O990),IMPRODUCT(L991,Q990))</f>
        <v>-30.1105075122074+60.4225749145639i</v>
      </c>
      <c r="P991" s="7" t="str">
        <f aca="false">IMSUM(IMPRODUCT(K991,P990),IMPRODUCT(L991,R990))</f>
        <v>-0.6583114168161-10.2299201628307i</v>
      </c>
      <c r="Q991" s="7" t="str">
        <f aca="false">IMSUM(IMPRODUCT(M991,O990),IMPRODUCT(N991,Q990))</f>
        <v>777.762687805184-26.1984829032174i</v>
      </c>
      <c r="R991" s="7" t="str">
        <f aca="false">IMSUM(IMPRODUCT(M991,P990),IMPRODUCT(N991,R990))</f>
        <v>-100.109149414674+62.7804383758533i</v>
      </c>
    </row>
    <row r="992" customFormat="false" ht="15" hidden="false" customHeight="false" outlineLevel="0" collapsed="false">
      <c r="A992" s="9" t="s">
        <v>74</v>
      </c>
      <c r="B992" s="13" t="n">
        <f aca="false">IMABS(IMDIV(IMPRODUCT(O991,COMPLEX(-1,0)),P991))</f>
        <v>6.58559709675401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5" min="2" style="0" width="13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17" t="s">
        <v>163</v>
      </c>
    </row>
    <row r="4" customFormat="false" ht="15" hidden="false" customHeight="false" outlineLevel="0" collapsed="false">
      <c r="A4" s="4" t="s">
        <v>164</v>
      </c>
      <c r="B4" s="8" t="s">
        <v>75</v>
      </c>
      <c r="C4" s="4" t="str">
        <f aca="false">INDEX(Library!$B$5:$B$34,MATCH(B4,Library!$A$5:$A$34,0))</f>
        <v>Cavity: board on dabs, 100 dense block, 150 MW, brick</v>
      </c>
      <c r="F4" s="4" t="s">
        <v>165</v>
      </c>
    </row>
    <row r="5" customFormat="false" ht="27.75" hidden="false" customHeight="true" outlineLevel="0" collapsed="false">
      <c r="A5" s="4" t="s">
        <v>16</v>
      </c>
      <c r="B5" s="8" t="n">
        <v>24</v>
      </c>
      <c r="F5" s="18" t="s">
        <v>53</v>
      </c>
      <c r="G5" s="18" t="s">
        <v>54</v>
      </c>
      <c r="H5" s="18" t="s">
        <v>55</v>
      </c>
      <c r="I5" s="18" t="s">
        <v>56</v>
      </c>
      <c r="J5" s="18" t="s">
        <v>57</v>
      </c>
      <c r="K5" s="18" t="s">
        <v>58</v>
      </c>
      <c r="L5" s="18" t="s">
        <v>59</v>
      </c>
      <c r="M5" s="18" t="s">
        <v>166</v>
      </c>
    </row>
    <row r="6" customFormat="false" ht="15" hidden="false" customHeight="false" outlineLevel="0" collapsed="false">
      <c r="A6" s="4" t="s">
        <v>167</v>
      </c>
      <c r="B6" s="8" t="s">
        <v>168</v>
      </c>
      <c r="C6" s="7" t="str">
        <f aca="false">IF(B6="rule",INDEX(Library!$F$5:$F$34,MATCH(B4,Library!$A$5:$A$34,0)),B6)</f>
        <v>IE</v>
      </c>
      <c r="D6" s="17" t="s">
        <v>169</v>
      </c>
      <c r="F6" s="19" t="n">
        <f aca="false">B22</f>
        <v>0.206773861971417</v>
      </c>
      <c r="G6" s="19" t="n">
        <f aca="false">D22</f>
        <v>3.16468344649979</v>
      </c>
      <c r="H6" s="20" t="n">
        <f aca="false">F22</f>
        <v>1.00956100958001</v>
      </c>
      <c r="I6" s="19" t="n">
        <f aca="false">H22</f>
        <v>0.161337235455988</v>
      </c>
      <c r="J6" s="20" t="n">
        <f aca="false">J22</f>
        <v>10.4769240250572</v>
      </c>
      <c r="K6" s="21" t="n">
        <f aca="false">L22</f>
        <v>43.9721622905958</v>
      </c>
      <c r="L6" s="21" t="n">
        <f aca="false">N22</f>
        <v>352.105</v>
      </c>
      <c r="M6" s="19" t="n">
        <f aca="false">B39</f>
        <v>6.54618096559316</v>
      </c>
    </row>
    <row r="9" customFormat="false" ht="15" hidden="false" customHeight="false" outlineLevel="0" collapsed="false">
      <c r="A9" s="4" t="s">
        <v>170</v>
      </c>
      <c r="T9" s="9" t="s">
        <v>20</v>
      </c>
      <c r="U9" s="7" t="n">
        <f aca="false">MATCH($B$4,Library!$A$5:$A$34,0)</f>
        <v>2</v>
      </c>
      <c r="V9" s="9" t="s">
        <v>21</v>
      </c>
      <c r="W9" s="7" t="str">
        <f aca="false">INDEX(Library!$D$5:$D$34,$U$9)</f>
        <v>ext</v>
      </c>
      <c r="X9" s="9" t="s">
        <v>22</v>
      </c>
      <c r="Y9" s="7" t="n">
        <f aca="false">INDEX(Library!$E$5:$E$34,$U$9)</f>
        <v>0.13</v>
      </c>
    </row>
    <row r="10" customFormat="false" ht="15" hidden="false" customHeight="false" outlineLevel="0" collapsed="false">
      <c r="A10" s="9"/>
      <c r="B10" s="9" t="s">
        <v>23</v>
      </c>
      <c r="C10" s="9" t="s">
        <v>24</v>
      </c>
      <c r="D10" s="9" t="s">
        <v>25</v>
      </c>
      <c r="E10" s="9" t="s">
        <v>26</v>
      </c>
      <c r="F10" s="9" t="s">
        <v>27</v>
      </c>
      <c r="G10" s="9" t="s">
        <v>28</v>
      </c>
      <c r="H10" s="9" t="s">
        <v>29</v>
      </c>
      <c r="I10" s="9" t="s">
        <v>30</v>
      </c>
      <c r="J10" s="9" t="s">
        <v>31</v>
      </c>
      <c r="K10" s="9" t="s">
        <v>32</v>
      </c>
      <c r="L10" s="9" t="s">
        <v>33</v>
      </c>
      <c r="M10" s="9" t="s">
        <v>34</v>
      </c>
      <c r="N10" s="9" t="s">
        <v>35</v>
      </c>
      <c r="O10" s="9" t="s">
        <v>36</v>
      </c>
      <c r="P10" s="9" t="s">
        <v>37</v>
      </c>
      <c r="Q10" s="9" t="s">
        <v>38</v>
      </c>
      <c r="R10" s="9" t="s">
        <v>39</v>
      </c>
      <c r="S10" s="9" t="s">
        <v>40</v>
      </c>
      <c r="T10" s="9" t="s">
        <v>41</v>
      </c>
    </row>
    <row r="11" customFormat="false" ht="15" hidden="false" customHeight="false" outlineLevel="0" collapsed="false">
      <c r="A11" s="7" t="s">
        <v>22</v>
      </c>
      <c r="B11" s="7" t="s">
        <v>42</v>
      </c>
      <c r="H11" s="10" t="n">
        <f aca="false">$Y$9</f>
        <v>0.13</v>
      </c>
      <c r="I11" s="11" t="n">
        <f aca="false">IF(B11="mass",SQRT(E11*($B$5*3600)/(PI()*F11*G11)),0)</f>
        <v>0</v>
      </c>
      <c r="J11" s="10" t="n">
        <f aca="false">IF(B11="mass",D11/I11,0)</f>
        <v>0</v>
      </c>
      <c r="K11" s="7" t="str">
        <f aca="false">IF(B11="mass",COMPLEX(COSH(J11)*COS(J11),SINH(J11)*SIN(J11)),COMPLEX(1,0))</f>
        <v>1</v>
      </c>
      <c r="L11" s="7" t="str">
        <f aca="false">IF(B11="mass",COMPLEX(-I11/(2*E11)*(SINH(J11)*COS(J11)+COSH(J11)*SIN(J11)),-I11/(2*E11)*(COSH(J11)*SIN(J11)-SINH(J11)*COS(J11))),COMPLEX(-H11,0))</f>
        <v>-0.13</v>
      </c>
      <c r="M11" s="7" t="str">
        <f aca="false">IF(B11="mass",COMPLEX(-E11/I11*(SINH(J11)*COS(J11)-COSH(J11)*SIN(J11)),-E11/I11*(SINH(J11)*COS(J11)+COSH(J11)*SIN(J11))),COMPLEX(0,0))</f>
        <v>0</v>
      </c>
      <c r="N11" s="7" t="str">
        <f aca="false">K11</f>
        <v>1</v>
      </c>
      <c r="O11" s="7" t="str">
        <f aca="false">K11</f>
        <v>1</v>
      </c>
      <c r="P11" s="7" t="str">
        <f aca="false">L11</f>
        <v>-0.13</v>
      </c>
      <c r="Q11" s="7" t="str">
        <f aca="false">M11</f>
        <v>0</v>
      </c>
      <c r="R11" s="7" t="str">
        <f aca="false">N11</f>
        <v>1</v>
      </c>
      <c r="S11" s="10" t="n">
        <f aca="false">IF(B11="mass",D11/E11,H11)</f>
        <v>0.13</v>
      </c>
      <c r="T11" s="12" t="n">
        <f aca="false">IF(B11="mass",F11*G11*D11,0)</f>
        <v>0</v>
      </c>
    </row>
    <row r="12" customFormat="false" ht="15" hidden="false" customHeight="false" outlineLevel="0" collapsed="false">
      <c r="A12" s="7" t="s">
        <v>43</v>
      </c>
      <c r="B12" s="7" t="str">
        <f aca="false">IF(C12="","none",IF(C12="Cavity","res","mass"))</f>
        <v>mass</v>
      </c>
      <c r="C12" s="7" t="str">
        <f aca="false">IF(INDEX(Library!$G$5:$G$34,$U$9)="","",INDEX(Library!$G$5:$G$34,$U$9))</f>
        <v>plasterboard</v>
      </c>
      <c r="D12" s="11" t="n">
        <f aca="false">IF(B12="mass",INDEX(Library!$H$5:$H$34,$U$9)/1000,0)</f>
        <v>0.0125</v>
      </c>
      <c r="E12" s="7" t="n">
        <f aca="false">IF(B12="mass",INDEX(Materials!$B$5:$B$28,MATCH(C12,Materials!$A$5:$A$28,0)),0)</f>
        <v>0.21</v>
      </c>
      <c r="F12" s="7" t="n">
        <f aca="false">IF(B12="mass",INDEX(Materials!$C$5:$C$28,MATCH(C12,Materials!$A$5:$A$28,0)),0)</f>
        <v>700</v>
      </c>
      <c r="G12" s="7" t="n">
        <f aca="false">IF(B12="mass",INDEX(Materials!$D$5:$D$28,MATCH(C12,Materials!$A$5:$A$28,0)),0)</f>
        <v>1000</v>
      </c>
      <c r="H12" s="10" t="n">
        <f aca="false">IF(B12="res",INDEX(Library!$H$5:$H$34,$U$9),0)</f>
        <v>0</v>
      </c>
      <c r="I12" s="11" t="n">
        <f aca="false">IF(B12="mass",SQRT(E12*($B$5*3600)/(PI()*F12*G12)),0)</f>
        <v>0.0908327707927258</v>
      </c>
      <c r="J12" s="10" t="n">
        <f aca="false">IF(B12="mass",D12/I12,0)</f>
        <v>0.137615531166875</v>
      </c>
      <c r="K12" s="7" t="str">
        <f aca="false">IF(B12="mass",COMPLEX(COSH(J12)*COS(J12),SINH(J12)*SIN(J12)),COMPLEX(1,0))</f>
        <v>0.999940225193105+0.0189379589504749i</v>
      </c>
      <c r="L12" s="7" t="str">
        <f aca="false">IF(B12="mass",COMPLEX(-I12/(2*E12)*(SINH(J12)*COS(J12)+COSH(J12)*SIN(J12)),-I12/(2*E12)*(COSH(J12)*SIN(J12)-SINH(J12)*COS(J12))),COMPLEX(-H12,0))</f>
        <v>-0.0595230979186955-0.000375754009423939i</v>
      </c>
      <c r="M12" s="7" t="str">
        <f aca="false">IF(B12="mass",COMPLEX(-E12/I12*(SINH(J12)*COS(J12)-COSH(J12)*SIN(J12)),-E12/I12*(SINH(J12)*COS(J12)+COSH(J12)*SIN(J12))),COMPLEX(0,0))</f>
        <v>0.00401686359323574-0.636310349296785i</v>
      </c>
      <c r="N12" s="7" t="str">
        <f aca="false">K12</f>
        <v>0.999940225193105+0.0189379589504749i</v>
      </c>
      <c r="O12" s="7" t="str">
        <f aca="false">IMSUM(IMPRODUCT(K12,O11),IMPRODUCT(L12,Q11))</f>
        <v>0.999940225193105+0.0189379589504749i</v>
      </c>
      <c r="P12" s="7" t="str">
        <f aca="false">IMSUM(IMPRODUCT(K12,P11),IMPRODUCT(L12,R11))</f>
        <v>-0.1895153271938-0.00283768867298567i</v>
      </c>
      <c r="Q12" s="7" t="str">
        <f aca="false">IMSUM(IMPRODUCT(M12,O11),IMPRODUCT(N12,Q11))</f>
        <v>0.00401686359323574-0.636310349296785i</v>
      </c>
      <c r="R12" s="7" t="str">
        <f aca="false">IMSUM(IMPRODUCT(M12,P11),IMPRODUCT(N12,R11))</f>
        <v>0.999418032925984+0.101658304359057i</v>
      </c>
      <c r="S12" s="10" t="n">
        <f aca="false">IF(B12="mass",D12/E12,H12)</f>
        <v>0.0595238095238095</v>
      </c>
      <c r="T12" s="12" t="n">
        <f aca="false">IF(B12="mass",F12*G12*D12,0)</f>
        <v>8750</v>
      </c>
    </row>
    <row r="13" customFormat="false" ht="15" hidden="false" customHeight="false" outlineLevel="0" collapsed="false">
      <c r="A13" s="7" t="s">
        <v>44</v>
      </c>
      <c r="B13" s="7" t="str">
        <f aca="false">IF(C13="","none",IF(C13="Cavity","res","mass"))</f>
        <v>res</v>
      </c>
      <c r="C13" s="7" t="str">
        <f aca="false">IF(INDEX(Library!$I$5:$I$34,$U$9)="","",INDEX(Library!$I$5:$I$34,$U$9))</f>
        <v>Cavity</v>
      </c>
      <c r="D13" s="11" t="n">
        <f aca="false">IF(B13="mass",INDEX(Library!$J$5:$J$34,$U$9)/1000,0)</f>
        <v>0</v>
      </c>
      <c r="E13" s="7" t="n">
        <f aca="false">IF(B13="mass",INDEX(Materials!$B$5:$B$28,MATCH(C13,Materials!$A$5:$A$28,0)),0)</f>
        <v>0</v>
      </c>
      <c r="F13" s="7" t="n">
        <f aca="false">IF(B13="mass",INDEX(Materials!$C$5:$C$28,MATCH(C13,Materials!$A$5:$A$28,0)),0)</f>
        <v>0</v>
      </c>
      <c r="G13" s="7" t="n">
        <f aca="false">IF(B13="mass",INDEX(Materials!$D$5:$D$28,MATCH(C13,Materials!$A$5:$A$28,0)),0)</f>
        <v>0</v>
      </c>
      <c r="H13" s="10" t="n">
        <f aca="false">IF(B13="res",INDEX(Library!$J$5:$J$34,$U$9),0)</f>
        <v>0.1</v>
      </c>
      <c r="I13" s="11" t="n">
        <f aca="false">IF(B13="mass",SQRT(E13*($B$5*3600)/(PI()*F13*G13)),0)</f>
        <v>0</v>
      </c>
      <c r="J13" s="10" t="n">
        <f aca="false">IF(B13="mass",D13/I13,0)</f>
        <v>0</v>
      </c>
      <c r="K13" s="7" t="str">
        <f aca="false">IF(B13="mass",COMPLEX(COSH(J13)*COS(J13),SINH(J13)*SIN(J13)),COMPLEX(1,0))</f>
        <v>1</v>
      </c>
      <c r="L13" s="7" t="str">
        <f aca="false">IF(B13="mass",COMPLEX(-I13/(2*E13)*(SINH(J13)*COS(J13)+COSH(J13)*SIN(J13)),-I13/(2*E13)*(COSH(J13)*SIN(J13)-SINH(J13)*COS(J13))),COMPLEX(-H13,0))</f>
        <v>-0.1</v>
      </c>
      <c r="M13" s="7" t="str">
        <f aca="false">IF(B13="mass",COMPLEX(-E13/I13*(SINH(J13)*COS(J13)-COSH(J13)*SIN(J13)),-E13/I13*(SINH(J13)*COS(J13)+COSH(J13)*SIN(J13))),COMPLEX(0,0))</f>
        <v>0</v>
      </c>
      <c r="N13" s="7" t="str">
        <f aca="false">K13</f>
        <v>1</v>
      </c>
      <c r="O13" s="7" t="str">
        <f aca="false">IMSUM(IMPRODUCT(K13,O12),IMPRODUCT(L13,Q12))</f>
        <v>0.999538538833782+0.0825689938801534i</v>
      </c>
      <c r="P13" s="7" t="str">
        <f aca="false">IMSUM(IMPRODUCT(K13,P12),IMPRODUCT(L13,R12))</f>
        <v>-0.289457130486398-0.0130035191088914i</v>
      </c>
      <c r="Q13" s="7" t="str">
        <f aca="false">IMSUM(IMPRODUCT(M13,O12),IMPRODUCT(N13,Q12))</f>
        <v>0.00401686359323574-0.636310349296785i</v>
      </c>
      <c r="R13" s="7" t="str">
        <f aca="false">IMSUM(IMPRODUCT(M13,P12),IMPRODUCT(N13,R12))</f>
        <v>0.999418032925984+0.101658304359057i</v>
      </c>
      <c r="S13" s="10" t="n">
        <f aca="false">IF(B13="mass",D13/E13,H13)</f>
        <v>0.1</v>
      </c>
      <c r="T13" s="12" t="n">
        <f aca="false">IF(B13="mass",F13*G13*D13,0)</f>
        <v>0</v>
      </c>
    </row>
    <row r="14" customFormat="false" ht="15" hidden="false" customHeight="false" outlineLevel="0" collapsed="false">
      <c r="A14" s="7" t="s">
        <v>45</v>
      </c>
      <c r="B14" s="7" t="str">
        <f aca="false">IF(C14="","none",IF(C14="Cavity","res","mass"))</f>
        <v>mass</v>
      </c>
      <c r="C14" s="7" t="str">
        <f aca="false">IF(INDEX(Library!$K$5:$K$34,$U$9)="","",INDEX(Library!$K$5:$K$34,$U$9))</f>
        <v>dense block</v>
      </c>
      <c r="D14" s="11" t="n">
        <f aca="false">IF(B14="mass",INDEX(Library!$L$5:$L$34,$U$9)/1000,0)</f>
        <v>0.1</v>
      </c>
      <c r="E14" s="7" t="n">
        <f aca="false">IF(B14="mass",INDEX(Materials!$B$5:$B$28,MATCH(C14,Materials!$A$5:$A$28,0)),0)</f>
        <v>1.13</v>
      </c>
      <c r="F14" s="7" t="n">
        <f aca="false">IF(B14="mass",INDEX(Materials!$C$5:$C$28,MATCH(C14,Materials!$A$5:$A$28,0)),0)</f>
        <v>2000</v>
      </c>
      <c r="G14" s="7" t="n">
        <f aca="false">IF(B14="mass",INDEX(Materials!$D$5:$D$28,MATCH(C14,Materials!$A$5:$A$28,0)),0)</f>
        <v>1000</v>
      </c>
      <c r="H14" s="10" t="n">
        <f aca="false">IF(B14="res",INDEX(Library!$L$5:$L$34,$U$9),0)</f>
        <v>0</v>
      </c>
      <c r="I14" s="11" t="n">
        <f aca="false">IF(B14="mass",SQRT(E14*($B$5*3600)/(PI()*F14*G14)),0)</f>
        <v>0.124653982703915</v>
      </c>
      <c r="J14" s="10" t="n">
        <f aca="false">IF(B14="mass",D14/I14,0)</f>
        <v>0.802220657782957</v>
      </c>
      <c r="K14" s="7" t="str">
        <f aca="false">IF(B14="mass",COMPLEX(COSH(J14)*COS(J14),SINH(J14)*SIN(J14)),COMPLEX(1,0))</f>
        <v>0.931040246556561+0.640597397168838i</v>
      </c>
      <c r="L14" s="7" t="str">
        <f aca="false">IF(B14="mass",COMPLEX(-I14/(2*E14)*(SINH(J14)*COS(J14)+COSH(J14)*SIN(J14)),-I14/(2*E14)*(COSH(J14)*SIN(J14)-SINH(J14)*COS(J14))),COMPLEX(-H14,0))</f>
        <v>-0.0872745132646335-0.0189465784438884i</v>
      </c>
      <c r="M14" s="7" t="str">
        <f aca="false">IF(B14="mass",COMPLEX(-E14/I14*(SINH(J14)*COS(J14)-COSH(J14)*SIN(J14)),-E14/I14*(SINH(J14)*COS(J14)+COSH(J14)*SIN(J14))),COMPLEX(0,0))</f>
        <v>3.11390498909631-14.3437266565329i</v>
      </c>
      <c r="N14" s="7" t="str">
        <f aca="false">K14</f>
        <v>0.931040246556561+0.640597397168838i</v>
      </c>
      <c r="O14" s="7" t="str">
        <f aca="false">IMSUM(IMPRODUCT(K14,O13),IMPRODUCT(L14,Q13))</f>
        <v>0.865310651309553+0.772634412965928i</v>
      </c>
      <c r="P14" s="7" t="str">
        <f aca="false">IMSUM(IMPRODUCT(K14,P13),IMPRODUCT(L14,R13))</f>
        <v>-0.346463862973921-0.225340015210106i</v>
      </c>
      <c r="Q14" s="7" t="str">
        <f aca="false">IMSUM(IMPRODUCT(M14,O13),IMPRODUCT(N14,Q13))</f>
        <v>4.70817373661176-14.6698529338472i</v>
      </c>
      <c r="R14" s="7" t="str">
        <f aca="false">IMSUM(IMPRODUCT(M14,P13),IMPRODUCT(N14,R13))</f>
        <v>-0.222484559806568+4.84627479878324i</v>
      </c>
      <c r="S14" s="10" t="n">
        <f aca="false">IF(B14="mass",D14/E14,H14)</f>
        <v>0.088495575221239</v>
      </c>
      <c r="T14" s="12" t="n">
        <f aca="false">IF(B14="mass",F14*G14*D14,0)</f>
        <v>200000</v>
      </c>
    </row>
    <row r="15" customFormat="false" ht="15" hidden="false" customHeight="false" outlineLevel="0" collapsed="false">
      <c r="A15" s="7" t="s">
        <v>46</v>
      </c>
      <c r="B15" s="7" t="str">
        <f aca="false">IF(C15="","none",IF(C15="Cavity","res","mass"))</f>
        <v>mass</v>
      </c>
      <c r="C15" s="7" t="str">
        <f aca="false">IF(INDEX(Library!$M$5:$M$34,$U$9)="","",INDEX(Library!$M$5:$M$34,$U$9))</f>
        <v>mineral wool</v>
      </c>
      <c r="D15" s="11" t="n">
        <f aca="false">IF(B15="mass",INDEX(Library!$N$5:$N$34,$U$9)/1000,0)</f>
        <v>0.15</v>
      </c>
      <c r="E15" s="7" t="n">
        <f aca="false">IF(B15="mass",INDEX(Materials!$B$5:$B$28,MATCH(C15,Materials!$A$5:$A$28,0)),0)</f>
        <v>0.035</v>
      </c>
      <c r="F15" s="7" t="n">
        <f aca="false">IF(B15="mass",INDEX(Materials!$C$5:$C$28,MATCH(C15,Materials!$A$5:$A$28,0)),0)</f>
        <v>30</v>
      </c>
      <c r="G15" s="7" t="n">
        <f aca="false">IF(B15="mass",INDEX(Materials!$D$5:$D$28,MATCH(C15,Materials!$A$5:$A$28,0)),0)</f>
        <v>1030</v>
      </c>
      <c r="H15" s="10" t="n">
        <f aca="false">IF(B15="res",INDEX(Library!$N$5:$N$34,$U$9),0)</f>
        <v>0</v>
      </c>
      <c r="I15" s="11" t="n">
        <f aca="false">IF(B15="mass",SQRT(E15*($B$5*3600)/(PI()*F15*G15)),0)</f>
        <v>0.176496751881128</v>
      </c>
      <c r="J15" s="10" t="n">
        <f aca="false">IF(B15="mass",D15/I15,0)</f>
        <v>0.849873997120504</v>
      </c>
      <c r="K15" s="7" t="str">
        <f aca="false">IF(B15="mass",COMPLEX(COSH(J15)*COS(J15),SINH(J15)*SIN(J15)),COMPLEX(1,0))</f>
        <v>0.913158518565511+0.718100720020173i</v>
      </c>
      <c r="L15" s="7" t="str">
        <f aca="false">IF(B15="mass",COMPLEX(-I15/(2*E15)*(SINH(J15)*COS(J15)+COSH(J15)*SIN(J15)),-I15/(2*E15)*(COSH(J15)*SIN(J15)-SINH(J15)*COS(J15))),COMPLEX(-H15,0))</f>
        <v>-4.21123759620779-1.02927418634689i</v>
      </c>
      <c r="M15" s="7" t="str">
        <f aca="false">IF(B15="mass",COMPLEX(-E15/I15*(SINH(J15)*COS(J15)-COSH(J15)*SIN(J15)),-E15/I15*(SINH(J15)*COS(J15)+COSH(J15)*SIN(J15))),COMPLEX(0,0))</f>
        <v>0.0809512819555347-0.331209202129424i</v>
      </c>
      <c r="N15" s="7" t="str">
        <f aca="false">K15</f>
        <v>0.913158518565511+0.718100720020173i</v>
      </c>
      <c r="O15" s="7" t="str">
        <f aca="false">IMSUM(IMPRODUCT(K15,O14),IMPRODUCT(L15,Q14))</f>
        <v>-34.6912027272261+58.2591524116088i</v>
      </c>
      <c r="P15" s="7" t="str">
        <f aca="false">IMSUM(IMPRODUCT(K15,P14),IMPRODUCT(L15,R14))</f>
        <v>5.7705212924862-20.634384123846i</v>
      </c>
      <c r="Q15" s="7" t="str">
        <f aca="false">IMSUM(IMPRODUCT(M15,O14),IMPRODUCT(N15,Q14))</f>
        <v>15.1596925428287-10.2390113266067i</v>
      </c>
      <c r="R15" s="7" t="str">
        <f aca="false">IMSUM(IMPRODUCT(M15,P14),IMPRODUCT(N15,R14))</f>
        <v>-3.78595847396311+4.36216124974294i</v>
      </c>
      <c r="S15" s="10" t="n">
        <f aca="false">IF(B15="mass",D15/E15,H15)</f>
        <v>4.28571428571429</v>
      </c>
      <c r="T15" s="12" t="n">
        <f aca="false">IF(B15="mass",F15*G15*D15,0)</f>
        <v>4635</v>
      </c>
    </row>
    <row r="16" customFormat="false" ht="15" hidden="false" customHeight="false" outlineLevel="0" collapsed="false">
      <c r="A16" s="7" t="s">
        <v>47</v>
      </c>
      <c r="B16" s="7" t="str">
        <f aca="false">IF(C16="","none",IF(C16="Cavity","res","mass"))</f>
        <v>mass</v>
      </c>
      <c r="C16" s="7" t="str">
        <f aca="false">IF(INDEX(Library!$O$5:$O$34,$U$9)="","",INDEX(Library!$O$5:$O$34,$U$9))</f>
        <v>brick</v>
      </c>
      <c r="D16" s="11" t="n">
        <f aca="false">IF(B16="mass",INDEX(Library!$P$5:$P$34,$U$9)/1000,0)</f>
        <v>0.102</v>
      </c>
      <c r="E16" s="7" t="n">
        <f aca="false">IF(B16="mass",INDEX(Materials!$B$5:$B$28,MATCH(C16,Materials!$A$5:$A$28,0)),0)</f>
        <v>0.77</v>
      </c>
      <c r="F16" s="7" t="n">
        <f aca="false">IF(B16="mass",INDEX(Materials!$C$5:$C$28,MATCH(C16,Materials!$A$5:$A$28,0)),0)</f>
        <v>1700</v>
      </c>
      <c r="G16" s="7" t="n">
        <f aca="false">IF(B16="mass",INDEX(Materials!$D$5:$D$28,MATCH(C16,Materials!$A$5:$A$28,0)),0)</f>
        <v>800</v>
      </c>
      <c r="H16" s="10" t="n">
        <f aca="false">IF(B16="res",INDEX(Library!$P$5:$P$34,$U$9),0)</f>
        <v>0</v>
      </c>
      <c r="I16" s="11" t="n">
        <f aca="false">IF(B16="mass",SQRT(E16*($B$5*3600)/(PI()*F16*G16)),0)</f>
        <v>0.12478369552018</v>
      </c>
      <c r="J16" s="10" t="n">
        <f aca="false">IF(B16="mass",D16/I16,0)</f>
        <v>0.81741448331689</v>
      </c>
      <c r="K16" s="7" t="str">
        <f aca="false">IF(B16="mass",COMPLEX(COSH(J16)*COS(J16),SINH(J16)*SIN(J16)),COMPLEX(1,0))</f>
        <v>0.925671349743335+0.664853161913343i</v>
      </c>
      <c r="L16" s="7" t="str">
        <f aca="false">IF(B16="mass",COMPLEX(-I16/(2*E16)*(SINH(J16)*COS(J16)+COSH(J16)*SIN(J16)),-I16/(2*E16)*(COSH(J16)*SIN(J16)-SINH(J16)*COS(J16))),COMPLEX(-H16,0))</f>
        <v>-0.130497374771535-0.0294407447988599i</v>
      </c>
      <c r="M16" s="7" t="str">
        <f aca="false">IF(B16="mass",COMPLEX(-E16/I16*(SINH(J16)*COS(J16)-COSH(J16)*SIN(J16)),-E16/I16*(SINH(J16)*COS(J16)+COSH(J16)*SIN(J16))),COMPLEX(0,0))</f>
        <v>2.24204617217389-9.93796663719564i</v>
      </c>
      <c r="N16" s="7" t="str">
        <f aca="false">K16</f>
        <v>0.925671349743335+0.664853161913343i</v>
      </c>
      <c r="O16" s="7" t="str">
        <f aca="false">IMSUM(IMPRODUCT(K16,O15),IMPRODUCT(L16,Q15))</f>
        <v>-73.1261783426225+31.7541238829791i</v>
      </c>
      <c r="P16" s="7" t="str">
        <f aca="false">IMSUM(IMPRODUCT(K16,P15),IMPRODUCT(L16,R15))</f>
        <v>19.6829246803833-15.7218980300158i</v>
      </c>
      <c r="Q16" s="7" t="str">
        <f aca="false">IMSUM(IMPRODUCT(M16,O15),IMPRODUCT(N16,Q15))</f>
        <v>522.038566808353+475.980735051902i</v>
      </c>
      <c r="R16" s="7" t="str">
        <f aca="false">IMSUM(IMPRODUCT(M16,P15),IMPRODUCT(N16,R15))</f>
        <v>-198.530795816927-102.089668794429i</v>
      </c>
      <c r="S16" s="10" t="n">
        <f aca="false">IF(B16="mass",D16/E16,H16)</f>
        <v>0.132467532467532</v>
      </c>
      <c r="T16" s="12" t="n">
        <f aca="false">IF(B16="mass",F16*G16*D16,0)</f>
        <v>138720</v>
      </c>
    </row>
    <row r="17" customFormat="false" ht="15" hidden="false" customHeight="false" outlineLevel="0" collapsed="false">
      <c r="A17" s="7" t="s">
        <v>48</v>
      </c>
      <c r="B17" s="7" t="str">
        <f aca="false">IF(C17="","none",IF(C17="Cavity","res","mass"))</f>
        <v>none</v>
      </c>
      <c r="C17" s="7" t="str">
        <f aca="false">IF(INDEX(Library!$Q$5:$Q$34,$U$9)="","",INDEX(Library!$Q$5:$Q$34,$U$9))</f>
        <v/>
      </c>
      <c r="D17" s="11" t="n">
        <f aca="false">IF(B17="mass",INDEX(Library!$R$5:$R$34,$U$9)/1000,0)</f>
        <v>0</v>
      </c>
      <c r="E17" s="7" t="n">
        <f aca="false">IF(B17="mass",INDEX(Materials!$B$5:$B$28,MATCH(C17,Materials!$A$5:$A$28,0)),0)</f>
        <v>0</v>
      </c>
      <c r="F17" s="7" t="n">
        <f aca="false">IF(B17="mass",INDEX(Materials!$C$5:$C$28,MATCH(C17,Materials!$A$5:$A$28,0)),0)</f>
        <v>0</v>
      </c>
      <c r="G17" s="7" t="n">
        <f aca="false">IF(B17="mass",INDEX(Materials!$D$5:$D$28,MATCH(C17,Materials!$A$5:$A$28,0)),0)</f>
        <v>0</v>
      </c>
      <c r="H17" s="10" t="n">
        <f aca="false">IF(B17="res",INDEX(Library!$R$5:$R$34,$U$9),0)</f>
        <v>0</v>
      </c>
      <c r="I17" s="11" t="n">
        <f aca="false">IF(B17="mass",SQRT(E17*($B$5*3600)/(PI()*F17*G17)),0)</f>
        <v>0</v>
      </c>
      <c r="J17" s="10" t="n">
        <f aca="false">IF(B17="mass",D17/I17,0)</f>
        <v>0</v>
      </c>
      <c r="K17" s="7" t="str">
        <f aca="false">IF(B17="mass",COMPLEX(COSH(J17)*COS(J17),SINH(J17)*SIN(J17)),COMPLEX(1,0))</f>
        <v>1</v>
      </c>
      <c r="L17" s="7" t="str">
        <f aca="false">IF(B17="mass",COMPLEX(-I17/(2*E17)*(SINH(J17)*COS(J17)+COSH(J17)*SIN(J17)),-I17/(2*E17)*(COSH(J17)*SIN(J17)-SINH(J17)*COS(J17))),COMPLEX(-H17,0))</f>
        <v>-0</v>
      </c>
      <c r="M17" s="7" t="str">
        <f aca="false">IF(B17="mass",COMPLEX(-E17/I17*(SINH(J17)*COS(J17)-COSH(J17)*SIN(J17)),-E17/I17*(SINH(J17)*COS(J17)+COSH(J17)*SIN(J17))),COMPLEX(0,0))</f>
        <v>0</v>
      </c>
      <c r="N17" s="7" t="str">
        <f aca="false">K17</f>
        <v>1</v>
      </c>
      <c r="O17" s="7" t="str">
        <f aca="false">IMSUM(IMPRODUCT(K17,O16),IMPRODUCT(L17,Q16))</f>
        <v>-73.1261783426225+31.7541238829791i</v>
      </c>
      <c r="P17" s="7" t="str">
        <f aca="false">IMSUM(IMPRODUCT(K17,P16),IMPRODUCT(L17,R16))</f>
        <v>19.6829246803833-15.7218980300158i</v>
      </c>
      <c r="Q17" s="7" t="str">
        <f aca="false">IMSUM(IMPRODUCT(M17,O16),IMPRODUCT(N17,Q16))</f>
        <v>522.038566808353+475.980735051902i</v>
      </c>
      <c r="R17" s="7" t="str">
        <f aca="false">IMSUM(IMPRODUCT(M17,P16),IMPRODUCT(N17,R16))</f>
        <v>-198.530795816927-102.089668794429i</v>
      </c>
      <c r="S17" s="10" t="n">
        <f aca="false">IF(B17="mass",D17/E17,H17)</f>
        <v>0</v>
      </c>
      <c r="T17" s="12" t="n">
        <f aca="false">IF(B17="mass",F17*G17*D17,0)</f>
        <v>0</v>
      </c>
    </row>
    <row r="18" customFormat="false" ht="15" hidden="false" customHeight="false" outlineLevel="0" collapsed="false">
      <c r="A18" s="7" t="s">
        <v>49</v>
      </c>
      <c r="B18" s="7" t="str">
        <f aca="false">IF(C18="","none",IF(C18="Cavity","res","mass"))</f>
        <v>none</v>
      </c>
      <c r="C18" s="7" t="str">
        <f aca="false">IF(INDEX(Library!$S$5:$S$34,$U$9)="","",INDEX(Library!$S$5:$S$34,$U$9))</f>
        <v/>
      </c>
      <c r="D18" s="11" t="n">
        <f aca="false">IF(B18="mass",INDEX(Library!$T$5:$T$34,$U$9)/1000,0)</f>
        <v>0</v>
      </c>
      <c r="E18" s="7" t="n">
        <f aca="false">IF(B18="mass",INDEX(Materials!$B$5:$B$28,MATCH(C18,Materials!$A$5:$A$28,0)),0)</f>
        <v>0</v>
      </c>
      <c r="F18" s="7" t="n">
        <f aca="false">IF(B18="mass",INDEX(Materials!$C$5:$C$28,MATCH(C18,Materials!$A$5:$A$28,0)),0)</f>
        <v>0</v>
      </c>
      <c r="G18" s="7" t="n">
        <f aca="false">IF(B18="mass",INDEX(Materials!$D$5:$D$28,MATCH(C18,Materials!$A$5:$A$28,0)),0)</f>
        <v>0</v>
      </c>
      <c r="H18" s="10" t="n">
        <f aca="false">IF(B18="res",INDEX(Library!$T$5:$T$34,$U$9),0)</f>
        <v>0</v>
      </c>
      <c r="I18" s="11" t="n">
        <f aca="false">IF(B18="mass",SQRT(E18*($B$5*3600)/(PI()*F18*G18)),0)</f>
        <v>0</v>
      </c>
      <c r="J18" s="10" t="n">
        <f aca="false">IF(B18="mass",D18/I18,0)</f>
        <v>0</v>
      </c>
      <c r="K18" s="7" t="str">
        <f aca="false">IF(B18="mass",COMPLEX(COSH(J18)*COS(J18),SINH(J18)*SIN(J18)),COMPLEX(1,0))</f>
        <v>1</v>
      </c>
      <c r="L18" s="7" t="str">
        <f aca="false">IF(B18="mass",COMPLEX(-I18/(2*E18)*(SINH(J18)*COS(J18)+COSH(J18)*SIN(J18)),-I18/(2*E18)*(COSH(J18)*SIN(J18)-SINH(J18)*COS(J18))),COMPLEX(-H18,0))</f>
        <v>-0</v>
      </c>
      <c r="M18" s="7" t="str">
        <f aca="false">IF(B18="mass",COMPLEX(-E18/I18*(SINH(J18)*COS(J18)-COSH(J18)*SIN(J18)),-E18/I18*(SINH(J18)*COS(J18)+COSH(J18)*SIN(J18))),COMPLEX(0,0))</f>
        <v>0</v>
      </c>
      <c r="N18" s="7" t="str">
        <f aca="false">K18</f>
        <v>1</v>
      </c>
      <c r="O18" s="7" t="str">
        <f aca="false">IMSUM(IMPRODUCT(K18,O17),IMPRODUCT(L18,Q17))</f>
        <v>-73.1261783426225+31.7541238829791i</v>
      </c>
      <c r="P18" s="7" t="str">
        <f aca="false">IMSUM(IMPRODUCT(K18,P17),IMPRODUCT(L18,R17))</f>
        <v>19.6829246803833-15.7218980300158i</v>
      </c>
      <c r="Q18" s="7" t="str">
        <f aca="false">IMSUM(IMPRODUCT(M18,O17),IMPRODUCT(N18,Q17))</f>
        <v>522.038566808353+475.980735051902i</v>
      </c>
      <c r="R18" s="7" t="str">
        <f aca="false">IMSUM(IMPRODUCT(M18,P17),IMPRODUCT(N18,R17))</f>
        <v>-198.530795816927-102.089668794429i</v>
      </c>
      <c r="S18" s="10" t="n">
        <f aca="false">IF(B18="mass",D18/E18,H18)</f>
        <v>0</v>
      </c>
      <c r="T18" s="12" t="n">
        <f aca="false">IF(B18="mass",F18*G18*D18,0)</f>
        <v>0</v>
      </c>
    </row>
    <row r="19" customFormat="false" ht="15" hidden="false" customHeight="false" outlineLevel="0" collapsed="false">
      <c r="A19" s="7" t="s">
        <v>50</v>
      </c>
      <c r="B19" s="7" t="str">
        <f aca="false">IF(C19="","none",IF(C19="Cavity","res","mass"))</f>
        <v>none</v>
      </c>
      <c r="C19" s="7" t="str">
        <f aca="false">IF(INDEX(Library!$U$5:$U$34,$U$9)="","",INDEX(Library!$U$5:$U$34,$U$9))</f>
        <v/>
      </c>
      <c r="D19" s="11" t="n">
        <f aca="false">IF(B19="mass",INDEX(Library!$V$5:$V$34,$U$9)/1000,0)</f>
        <v>0</v>
      </c>
      <c r="E19" s="7" t="n">
        <f aca="false">IF(B19="mass",INDEX(Materials!$B$5:$B$28,MATCH(C19,Materials!$A$5:$A$28,0)),0)</f>
        <v>0</v>
      </c>
      <c r="F19" s="7" t="n">
        <f aca="false">IF(B19="mass",INDEX(Materials!$C$5:$C$28,MATCH(C19,Materials!$A$5:$A$28,0)),0)</f>
        <v>0</v>
      </c>
      <c r="G19" s="7" t="n">
        <f aca="false">IF(B19="mass",INDEX(Materials!$D$5:$D$28,MATCH(C19,Materials!$A$5:$A$28,0)),0)</f>
        <v>0</v>
      </c>
      <c r="H19" s="10" t="n">
        <f aca="false">IF(B19="res",INDEX(Library!$V$5:$V$34,$U$9),0)</f>
        <v>0</v>
      </c>
      <c r="I19" s="11" t="n">
        <f aca="false">IF(B19="mass",SQRT(E19*($B$5*3600)/(PI()*F19*G19)),0)</f>
        <v>0</v>
      </c>
      <c r="J19" s="10" t="n">
        <f aca="false">IF(B19="mass",D19/I19,0)</f>
        <v>0</v>
      </c>
      <c r="K19" s="7" t="str">
        <f aca="false">IF(B19="mass",COMPLEX(COSH(J19)*COS(J19),SINH(J19)*SIN(J19)),COMPLEX(1,0))</f>
        <v>1</v>
      </c>
      <c r="L19" s="7" t="str">
        <f aca="false">IF(B19="mass",COMPLEX(-I19/(2*E19)*(SINH(J19)*COS(J19)+COSH(J19)*SIN(J19)),-I19/(2*E19)*(COSH(J19)*SIN(J19)-SINH(J19)*COS(J19))),COMPLEX(-H19,0))</f>
        <v>-0</v>
      </c>
      <c r="M19" s="7" t="str">
        <f aca="false">IF(B19="mass",COMPLEX(-E19/I19*(SINH(J19)*COS(J19)-COSH(J19)*SIN(J19)),-E19/I19*(SINH(J19)*COS(J19)+COSH(J19)*SIN(J19))),COMPLEX(0,0))</f>
        <v>0</v>
      </c>
      <c r="N19" s="7" t="str">
        <f aca="false">K19</f>
        <v>1</v>
      </c>
      <c r="O19" s="7" t="str">
        <f aca="false">IMSUM(IMPRODUCT(K19,O18),IMPRODUCT(L19,Q18))</f>
        <v>-73.1261783426225+31.7541238829791i</v>
      </c>
      <c r="P19" s="7" t="str">
        <f aca="false">IMSUM(IMPRODUCT(K19,P18),IMPRODUCT(L19,R18))</f>
        <v>19.6829246803833-15.7218980300158i</v>
      </c>
      <c r="Q19" s="7" t="str">
        <f aca="false">IMSUM(IMPRODUCT(M19,O18),IMPRODUCT(N19,Q18))</f>
        <v>522.038566808353+475.980735051902i</v>
      </c>
      <c r="R19" s="7" t="str">
        <f aca="false">IMSUM(IMPRODUCT(M19,P18),IMPRODUCT(N19,R18))</f>
        <v>-198.530795816927-102.089668794429i</v>
      </c>
      <c r="S19" s="10" t="n">
        <f aca="false">IF(B19="mass",D19/E19,H19)</f>
        <v>0</v>
      </c>
      <c r="T19" s="12" t="n">
        <f aca="false">IF(B19="mass",F19*G19*D19,0)</f>
        <v>0</v>
      </c>
    </row>
    <row r="20" customFormat="false" ht="15" hidden="false" customHeight="false" outlineLevel="0" collapsed="false">
      <c r="A20" s="7" t="s">
        <v>51</v>
      </c>
      <c r="B20" s="7" t="str">
        <f aca="false">IF($W$9="ground","mass",IF($W$9="adiabatic","res","none"))</f>
        <v>none</v>
      </c>
      <c r="C20" s="7" t="str">
        <f aca="false">IF($W$9="ground","clay soil","")</f>
        <v/>
      </c>
      <c r="D20" s="11" t="n">
        <f aca="false">IF(B20="mass",1,0)</f>
        <v>0</v>
      </c>
      <c r="E20" s="7" t="n">
        <f aca="false">IF(B20="mass",INDEX(Materials!$B$5:$B$28,MATCH(C20,Materials!$A$5:$A$28,0)),0)</f>
        <v>0</v>
      </c>
      <c r="F20" s="7" t="n">
        <f aca="false">IF(B20="mass",INDEX(Materials!$C$5:$C$28,MATCH(C20,Materials!$A$5:$A$28,0)),0)</f>
        <v>0</v>
      </c>
      <c r="G20" s="7" t="n">
        <f aca="false">IF(B20="mass",INDEX(Materials!$D$5:$D$28,MATCH(C20,Materials!$A$5:$A$28,0)),0)</f>
        <v>0</v>
      </c>
      <c r="H20" s="12" t="n">
        <f aca="false">IF(B20="res",1000000,0)</f>
        <v>0</v>
      </c>
      <c r="I20" s="11" t="n">
        <f aca="false">IF(B20="mass",SQRT(E20*($B$5*3600)/(PI()*F20*G20)),0)</f>
        <v>0</v>
      </c>
      <c r="J20" s="10" t="n">
        <f aca="false">IF(B20="mass",D20/I20,0)</f>
        <v>0</v>
      </c>
      <c r="K20" s="7" t="str">
        <f aca="false">IF(B20="mass",COMPLEX(COSH(J20)*COS(J20),SINH(J20)*SIN(J20)),COMPLEX(1,0))</f>
        <v>1</v>
      </c>
      <c r="L20" s="7" t="str">
        <f aca="false">IF(B20="mass",COMPLEX(-I20/(2*E20)*(SINH(J20)*COS(J20)+COSH(J20)*SIN(J20)),-I20/(2*E20)*(COSH(J20)*SIN(J20)-SINH(J20)*COS(J20))),COMPLEX(-H20,0))</f>
        <v>-0</v>
      </c>
      <c r="M20" s="7" t="str">
        <f aca="false">IF(B20="mass",COMPLEX(-E20/I20*(SINH(J20)*COS(J20)-COSH(J20)*SIN(J20)),-E20/I20*(SINH(J20)*COS(J20)+COSH(J20)*SIN(J20))),COMPLEX(0,0))</f>
        <v>0</v>
      </c>
      <c r="N20" s="7" t="str">
        <f aca="false">K20</f>
        <v>1</v>
      </c>
      <c r="O20" s="7" t="str">
        <f aca="false">IMSUM(IMPRODUCT(K20,O19),IMPRODUCT(L20,Q19))</f>
        <v>-73.1261783426225+31.7541238829791i</v>
      </c>
      <c r="P20" s="7" t="str">
        <f aca="false">IMSUM(IMPRODUCT(K20,P19),IMPRODUCT(L20,R19))</f>
        <v>19.6829246803833-15.7218980300158i</v>
      </c>
      <c r="Q20" s="7" t="str">
        <f aca="false">IMSUM(IMPRODUCT(M20,O19),IMPRODUCT(N20,Q19))</f>
        <v>522.038566808353+475.980735051902i</v>
      </c>
      <c r="R20" s="7" t="str">
        <f aca="false">IMSUM(IMPRODUCT(M20,P19),IMPRODUCT(N20,R19))</f>
        <v>-198.530795816927-102.089668794429i</v>
      </c>
      <c r="S20" s="10" t="n">
        <f aca="false">IF(B20="mass",D20/E20,H20)</f>
        <v>0</v>
      </c>
      <c r="T20" s="12" t="n">
        <f aca="false">IF(B20="mass",F20*G20*D20,0)</f>
        <v>0</v>
      </c>
    </row>
    <row r="21" customFormat="false" ht="15" hidden="false" customHeight="false" outlineLevel="0" collapsed="false">
      <c r="A21" s="7" t="s">
        <v>52</v>
      </c>
      <c r="B21" s="7" t="s">
        <v>42</v>
      </c>
      <c r="H21" s="10" t="n">
        <f aca="false">IF($W$9="ext",0.04,IF($W$9="room",$Y$9,0))</f>
        <v>0.04</v>
      </c>
      <c r="I21" s="11" t="n">
        <f aca="false">IF(B21="mass",SQRT(E21*($B$5*3600)/(PI()*F21*G21)),0)</f>
        <v>0</v>
      </c>
      <c r="J21" s="10" t="n">
        <f aca="false">IF(B21="mass",D21/I21,0)</f>
        <v>0</v>
      </c>
      <c r="K21" s="7" t="str">
        <f aca="false">IF(B21="mass",COMPLEX(COSH(J21)*COS(J21),SINH(J21)*SIN(J21)),COMPLEX(1,0))</f>
        <v>1</v>
      </c>
      <c r="L21" s="7" t="str">
        <f aca="false">IF(B21="mass",COMPLEX(-I21/(2*E21)*(SINH(J21)*COS(J21)+COSH(J21)*SIN(J21)),-I21/(2*E21)*(COSH(J21)*SIN(J21)-SINH(J21)*COS(J21))),COMPLEX(-H21,0))</f>
        <v>-0.04</v>
      </c>
      <c r="M21" s="7" t="str">
        <f aca="false">IF(B21="mass",COMPLEX(-E21/I21*(SINH(J21)*COS(J21)-COSH(J21)*SIN(J21)),-E21/I21*(SINH(J21)*COS(J21)+COSH(J21)*SIN(J21))),COMPLEX(0,0))</f>
        <v>0</v>
      </c>
      <c r="N21" s="7" t="str">
        <f aca="false">K21</f>
        <v>1</v>
      </c>
      <c r="O21" s="7" t="str">
        <f aca="false">IMSUM(IMPRODUCT(K21,O20),IMPRODUCT(L21,Q20))</f>
        <v>-94.0077210149566+12.714894480903i</v>
      </c>
      <c r="P21" s="7" t="str">
        <f aca="false">IMSUM(IMPRODUCT(K21,P20),IMPRODUCT(L21,R20))</f>
        <v>27.6241565130604-11.6383112782386i</v>
      </c>
      <c r="Q21" s="7" t="str">
        <f aca="false">IMSUM(IMPRODUCT(M21,O20),IMPRODUCT(N21,Q20))</f>
        <v>522.038566808353+475.980735051902i</v>
      </c>
      <c r="R21" s="7" t="str">
        <f aca="false">IMSUM(IMPRODUCT(M21,P20),IMPRODUCT(N21,R20))</f>
        <v>-198.530795816927-102.089668794429i</v>
      </c>
      <c r="S21" s="10" t="n">
        <f aca="false">IF(B21="mass",D21/E21,H21)</f>
        <v>0.04</v>
      </c>
      <c r="T21" s="12" t="n">
        <f aca="false">IF(B21="mass",F21*G21*D21,0)</f>
        <v>0</v>
      </c>
    </row>
    <row r="22" customFormat="false" ht="15" hidden="false" customHeight="false" outlineLevel="0" collapsed="false">
      <c r="A22" s="9" t="s">
        <v>53</v>
      </c>
      <c r="B22" s="13" t="n">
        <f aca="false">IF(OR($W$9="ext",$W$9="ground"),1/SUM(S11:S21),"–")</f>
        <v>0.206773861971417</v>
      </c>
      <c r="C22" s="9" t="s">
        <v>54</v>
      </c>
      <c r="D22" s="13" t="n">
        <f aca="false">IMABS(IMDIV(IMPRODUCT(O21,COMPLEX(-1,0)),P21))</f>
        <v>3.16468344649979</v>
      </c>
      <c r="E22" s="9" t="s">
        <v>55</v>
      </c>
      <c r="F22" s="14" t="n">
        <f aca="false">IMARGUMENT(IMDIV(IMPRODUCT(O21,COMPLEX(-1,0)),P21))*$B$5/(2*PI())</f>
        <v>1.00956100958001</v>
      </c>
      <c r="G22" s="9" t="s">
        <v>56</v>
      </c>
      <c r="H22" s="13" t="n">
        <f aca="false">IF($W$9="ext",IMABS(IMDIV(COMPLEX(-1,0),P21))*SUM(S11:S21),"–")</f>
        <v>0.161337235455988</v>
      </c>
      <c r="I22" s="9" t="s">
        <v>57</v>
      </c>
      <c r="J22" s="14" t="n">
        <f aca="false">IF($W$9="ext",MOD(-IMARGUMENT(IMDIV(COMPLEX(-1,0),P21))*$B$5/(2*PI()),24),"–")</f>
        <v>10.4769240250572</v>
      </c>
      <c r="K22" s="9" t="s">
        <v>58</v>
      </c>
      <c r="L22" s="15" t="n">
        <f aca="false">($B$5*3600)/(2*PI())*IMABS(IMDIV(IMSUB(O21,COMPLEX(1,0)),P21))/1000</f>
        <v>43.9721622905958</v>
      </c>
      <c r="M22" s="9" t="s">
        <v>59</v>
      </c>
      <c r="N22" s="15" t="n">
        <f aca="false">SUM(T12:T19)/1000</f>
        <v>352.105</v>
      </c>
      <c r="O22" s="9" t="s">
        <v>60</v>
      </c>
      <c r="P22" s="16" t="n">
        <f aca="false">SUM(S12:S19)</f>
        <v>4.66620120292687</v>
      </c>
    </row>
    <row r="25" customFormat="false" ht="15" hidden="false" customHeight="false" outlineLevel="0" collapsed="false">
      <c r="A25" s="4" t="s">
        <v>171</v>
      </c>
    </row>
    <row r="26" customFormat="false" ht="15" hidden="false" customHeight="false" outlineLevel="0" collapsed="false">
      <c r="A26" s="9"/>
      <c r="B26" s="9" t="s">
        <v>62</v>
      </c>
      <c r="C26" s="9" t="s">
        <v>63</v>
      </c>
      <c r="D26" s="9"/>
      <c r="E26" s="9"/>
      <c r="F26" s="9"/>
      <c r="G26" s="9"/>
      <c r="H26" s="9"/>
      <c r="I26" s="9"/>
      <c r="J26" s="9"/>
      <c r="K26" s="9" t="s">
        <v>32</v>
      </c>
      <c r="L26" s="9" t="s">
        <v>33</v>
      </c>
      <c r="M26" s="9" t="s">
        <v>34</v>
      </c>
      <c r="N26" s="9" t="s">
        <v>35</v>
      </c>
      <c r="O26" s="9" t="s">
        <v>36</v>
      </c>
      <c r="P26" s="9" t="s">
        <v>37</v>
      </c>
      <c r="Q26" s="9" t="s">
        <v>38</v>
      </c>
      <c r="R26" s="9" t="s">
        <v>39</v>
      </c>
    </row>
    <row r="27" customFormat="false" ht="15" hidden="false" customHeight="false" outlineLevel="0" collapsed="false">
      <c r="A27" s="7" t="s">
        <v>22</v>
      </c>
      <c r="B27" s="7" t="s">
        <v>42</v>
      </c>
      <c r="C27" s="10" t="n">
        <f aca="false">$Y$9</f>
        <v>0.13</v>
      </c>
      <c r="K27" s="7" t="str">
        <f aca="false">COMPLEX(1,0)</f>
        <v>1</v>
      </c>
      <c r="L27" s="7" t="str">
        <f aca="false">COMPLEX(-C27,0)</f>
        <v>-0.13</v>
      </c>
      <c r="M27" s="7" t="str">
        <f aca="false">COMPLEX(0,0)</f>
        <v>0</v>
      </c>
      <c r="N27" s="7" t="str">
        <f aca="false">COMPLEX(1,0)</f>
        <v>1</v>
      </c>
      <c r="O27" s="7" t="str">
        <f aca="false">K27</f>
        <v>1</v>
      </c>
      <c r="P27" s="7" t="str">
        <f aca="false">L27</f>
        <v>-0.13</v>
      </c>
      <c r="Q27" s="7" t="str">
        <f aca="false">M27</f>
        <v>0</v>
      </c>
      <c r="R27" s="7" t="str">
        <f aca="false">N27</f>
        <v>1</v>
      </c>
    </row>
    <row r="28" customFormat="false" ht="15" hidden="false" customHeight="false" outlineLevel="0" collapsed="false">
      <c r="A28" s="7" t="s">
        <v>64</v>
      </c>
      <c r="B28" s="7" t="s">
        <v>65</v>
      </c>
      <c r="C28" s="10" t="n">
        <f aca="false">INDEX(Classes!$B$5:$F$9,MATCH($C$6,Classes!$A$5:$A$9,0),5)*(N22*1000)</f>
        <v>176052.5</v>
      </c>
      <c r="K28" s="7" t="str">
        <f aca="false">COMPLEX(1,0)</f>
        <v>1</v>
      </c>
      <c r="L28" s="7" t="str">
        <f aca="false">COMPLEX(0,0)</f>
        <v>0</v>
      </c>
      <c r="M28" s="7" t="str">
        <f aca="false">COMPLEX(0,-(2*PI()/($B$5*3600))*C28)</f>
        <v>-12.8028990890305i</v>
      </c>
      <c r="N28" s="7" t="str">
        <f aca="false">COMPLEX(1,0)</f>
        <v>1</v>
      </c>
      <c r="O28" s="7" t="str">
        <f aca="false">IMSUM(IMPRODUCT(K28,O27),IMPRODUCT(L28,Q27))</f>
        <v>1</v>
      </c>
      <c r="P28" s="7" t="str">
        <f aca="false">IMSUM(IMPRODUCT(K28,P27),IMPRODUCT(L28,R27))</f>
        <v>-0.13</v>
      </c>
      <c r="Q28" s="7" t="str">
        <f aca="false">IMSUM(IMPRODUCT(M28,O27),IMPRODUCT(N28,Q27))</f>
        <v>-12.8028990890305i</v>
      </c>
      <c r="R28" s="7" t="str">
        <f aca="false">IMSUM(IMPRODUCT(M28,P27),IMPRODUCT(N28,R27))</f>
        <v>1+1.66437688157397i</v>
      </c>
    </row>
    <row r="29" customFormat="false" ht="15" hidden="false" customHeight="false" outlineLevel="0" collapsed="false">
      <c r="A29" s="7" t="s">
        <v>66</v>
      </c>
      <c r="B29" s="7" t="s">
        <v>42</v>
      </c>
      <c r="C29" s="10" t="n">
        <f aca="false">P22/6</f>
        <v>0.777700200487811</v>
      </c>
      <c r="K29" s="7" t="str">
        <f aca="false">COMPLEX(1,0)</f>
        <v>1</v>
      </c>
      <c r="L29" s="7" t="str">
        <f aca="false">COMPLEX(-C29,0)</f>
        <v>-0.777700200487811</v>
      </c>
      <c r="M29" s="7" t="str">
        <f aca="false">COMPLEX(0,0)</f>
        <v>0</v>
      </c>
      <c r="N29" s="7" t="str">
        <f aca="false">COMPLEX(1,0)</f>
        <v>1</v>
      </c>
      <c r="O29" s="7" t="str">
        <f aca="false">IMSUM(IMPRODUCT(K29,O28),IMPRODUCT(L29,Q28))</f>
        <v>1+9.95681718836423i</v>
      </c>
      <c r="P29" s="7" t="str">
        <f aca="false">IMSUM(IMPRODUCT(K29,P28),IMPRODUCT(L29,R28))</f>
        <v>-0.907700200487811-1.29438623448735i</v>
      </c>
      <c r="Q29" s="7" t="str">
        <f aca="false">IMSUM(IMPRODUCT(M29,O28),IMPRODUCT(N29,Q28))</f>
        <v>-12.8028990890305i</v>
      </c>
      <c r="R29" s="7" t="str">
        <f aca="false">IMSUM(IMPRODUCT(M29,P28),IMPRODUCT(N29,R28))</f>
        <v>1+1.66437688157397i</v>
      </c>
    </row>
    <row r="30" customFormat="false" ht="15" hidden="false" customHeight="false" outlineLevel="0" collapsed="false">
      <c r="A30" s="7" t="s">
        <v>67</v>
      </c>
      <c r="B30" s="7" t="s">
        <v>65</v>
      </c>
      <c r="C30" s="10" t="n">
        <f aca="false">INDEX(Classes!$B$5:$F$9,MATCH($C$6,Classes!$A$5:$A$9,0),4)*(N22*1000)</f>
        <v>0</v>
      </c>
      <c r="K30" s="7" t="str">
        <f aca="false">COMPLEX(1,0)</f>
        <v>1</v>
      </c>
      <c r="L30" s="7" t="str">
        <f aca="false">COMPLEX(0,0)</f>
        <v>0</v>
      </c>
      <c r="M30" s="7" t="str">
        <f aca="false">COMPLEX(0,-(2*PI()/($B$5*3600))*C30)</f>
        <v>0</v>
      </c>
      <c r="N30" s="7" t="str">
        <f aca="false">COMPLEX(1,0)</f>
        <v>1</v>
      </c>
      <c r="O30" s="7" t="str">
        <f aca="false">IMSUM(IMPRODUCT(K30,O29),IMPRODUCT(L30,Q29))</f>
        <v>1+9.95681718836423i</v>
      </c>
      <c r="P30" s="7" t="str">
        <f aca="false">IMSUM(IMPRODUCT(K30,P29),IMPRODUCT(L30,R29))</f>
        <v>-0.907700200487811-1.29438623448735i</v>
      </c>
      <c r="Q30" s="7" t="str">
        <f aca="false">IMSUM(IMPRODUCT(M30,O29),IMPRODUCT(N30,Q29))</f>
        <v>-12.8028990890305i</v>
      </c>
      <c r="R30" s="7" t="str">
        <f aca="false">IMSUM(IMPRODUCT(M30,P29),IMPRODUCT(N30,R29))</f>
        <v>1+1.66437688157397i</v>
      </c>
    </row>
    <row r="31" customFormat="false" ht="15" hidden="false" customHeight="false" outlineLevel="0" collapsed="false">
      <c r="A31" s="7" t="s">
        <v>68</v>
      </c>
      <c r="B31" s="7" t="s">
        <v>42</v>
      </c>
      <c r="C31" s="10" t="n">
        <f aca="false">P22/3</f>
        <v>1.55540040097562</v>
      </c>
      <c r="K31" s="7" t="str">
        <f aca="false">COMPLEX(1,0)</f>
        <v>1</v>
      </c>
      <c r="L31" s="7" t="str">
        <f aca="false">COMPLEX(-C31,0)</f>
        <v>-1.55540040097562</v>
      </c>
      <c r="M31" s="7" t="str">
        <f aca="false">COMPLEX(0,0)</f>
        <v>0</v>
      </c>
      <c r="N31" s="7" t="str">
        <f aca="false">COMPLEX(1,0)</f>
        <v>1</v>
      </c>
      <c r="O31" s="7" t="str">
        <f aca="false">IMSUM(IMPRODUCT(K31,O30),IMPRODUCT(L31,Q30))</f>
        <v>1+29.8704515650926i</v>
      </c>
      <c r="P31" s="7" t="str">
        <f aca="false">IMSUM(IMPRODUCT(K31,P30),IMPRODUCT(L31,R30))</f>
        <v>-2.46310060146343-3.88315870346205i</v>
      </c>
      <c r="Q31" s="7" t="str">
        <f aca="false">IMSUM(IMPRODUCT(M31,O30),IMPRODUCT(N31,Q30))</f>
        <v>-12.8028990890305i</v>
      </c>
      <c r="R31" s="7" t="str">
        <f aca="false">IMSUM(IMPRODUCT(M31,P30),IMPRODUCT(N31,R30))</f>
        <v>1+1.66437688157397i</v>
      </c>
    </row>
    <row r="32" customFormat="false" ht="15" hidden="false" customHeight="false" outlineLevel="0" collapsed="false">
      <c r="A32" s="7" t="s">
        <v>69</v>
      </c>
      <c r="B32" s="7" t="s">
        <v>65</v>
      </c>
      <c r="C32" s="10" t="n">
        <f aca="false">INDEX(Classes!$B$5:$F$9,MATCH($C$6,Classes!$A$5:$A$9,0),3)*(N22*1000)</f>
        <v>0</v>
      </c>
      <c r="K32" s="7" t="str">
        <f aca="false">COMPLEX(1,0)</f>
        <v>1</v>
      </c>
      <c r="L32" s="7" t="str">
        <f aca="false">COMPLEX(0,0)</f>
        <v>0</v>
      </c>
      <c r="M32" s="7" t="str">
        <f aca="false">COMPLEX(0,-(2*PI()/($B$5*3600))*C32)</f>
        <v>0</v>
      </c>
      <c r="N32" s="7" t="str">
        <f aca="false">COMPLEX(1,0)</f>
        <v>1</v>
      </c>
      <c r="O32" s="7" t="str">
        <f aca="false">IMSUM(IMPRODUCT(K32,O31),IMPRODUCT(L32,Q31))</f>
        <v>1+29.8704515650926i</v>
      </c>
      <c r="P32" s="7" t="str">
        <f aca="false">IMSUM(IMPRODUCT(K32,P31),IMPRODUCT(L32,R31))</f>
        <v>-2.46310060146343-3.88315870346205i</v>
      </c>
      <c r="Q32" s="7" t="str">
        <f aca="false">IMSUM(IMPRODUCT(M32,O31),IMPRODUCT(N32,Q31))</f>
        <v>-12.8028990890305i</v>
      </c>
      <c r="R32" s="7" t="str">
        <f aca="false">IMSUM(IMPRODUCT(M32,P31),IMPRODUCT(N32,R31))</f>
        <v>1+1.66437688157397i</v>
      </c>
    </row>
    <row r="33" customFormat="false" ht="15" hidden="false" customHeight="false" outlineLevel="0" collapsed="false">
      <c r="A33" s="7" t="s">
        <v>68</v>
      </c>
      <c r="B33" s="7" t="s">
        <v>42</v>
      </c>
      <c r="C33" s="10" t="n">
        <f aca="false">P22/3</f>
        <v>1.55540040097562</v>
      </c>
      <c r="K33" s="7" t="str">
        <f aca="false">COMPLEX(1,0)</f>
        <v>1</v>
      </c>
      <c r="L33" s="7" t="str">
        <f aca="false">COMPLEX(-C33,0)</f>
        <v>-1.55540040097562</v>
      </c>
      <c r="M33" s="7" t="str">
        <f aca="false">COMPLEX(0,0)</f>
        <v>0</v>
      </c>
      <c r="N33" s="7" t="str">
        <f aca="false">COMPLEX(1,0)</f>
        <v>1</v>
      </c>
      <c r="O33" s="7" t="str">
        <f aca="false">IMSUM(IMPRODUCT(K33,O32),IMPRODUCT(L33,Q32))</f>
        <v>1+49.784085941821i</v>
      </c>
      <c r="P33" s="7" t="str">
        <f aca="false">IMSUM(IMPRODUCT(K33,P32),IMPRODUCT(L33,R32))</f>
        <v>-4.01850100243905-6.47193117243675i</v>
      </c>
      <c r="Q33" s="7" t="str">
        <f aca="false">IMSUM(IMPRODUCT(M33,O32),IMPRODUCT(N33,Q32))</f>
        <v>-12.8028990890305i</v>
      </c>
      <c r="R33" s="7" t="str">
        <f aca="false">IMSUM(IMPRODUCT(M33,P32),IMPRODUCT(N33,R32))</f>
        <v>1+1.66437688157397i</v>
      </c>
    </row>
    <row r="34" customFormat="false" ht="15" hidden="false" customHeight="false" outlineLevel="0" collapsed="false">
      <c r="A34" s="7" t="s">
        <v>70</v>
      </c>
      <c r="B34" s="7" t="s">
        <v>65</v>
      </c>
      <c r="C34" s="10" t="n">
        <f aca="false">INDEX(Classes!$B$5:$F$9,MATCH($C$6,Classes!$A$5:$A$9,0),2)*(N22*1000)</f>
        <v>0</v>
      </c>
      <c r="K34" s="7" t="str">
        <f aca="false">COMPLEX(1,0)</f>
        <v>1</v>
      </c>
      <c r="L34" s="7" t="str">
        <f aca="false">COMPLEX(0,0)</f>
        <v>0</v>
      </c>
      <c r="M34" s="7" t="str">
        <f aca="false">COMPLEX(0,-(2*PI()/($B$5*3600))*C34)</f>
        <v>0</v>
      </c>
      <c r="N34" s="7" t="str">
        <f aca="false">COMPLEX(1,0)</f>
        <v>1</v>
      </c>
      <c r="O34" s="7" t="str">
        <f aca="false">IMSUM(IMPRODUCT(K34,O33),IMPRODUCT(L34,Q33))</f>
        <v>1+49.784085941821i</v>
      </c>
      <c r="P34" s="7" t="str">
        <f aca="false">IMSUM(IMPRODUCT(K34,P33),IMPRODUCT(L34,R33))</f>
        <v>-4.01850100243905-6.47193117243675i</v>
      </c>
      <c r="Q34" s="7" t="str">
        <f aca="false">IMSUM(IMPRODUCT(M34,O33),IMPRODUCT(N34,Q33))</f>
        <v>-12.8028990890305i</v>
      </c>
      <c r="R34" s="7" t="str">
        <f aca="false">IMSUM(IMPRODUCT(M34,P33),IMPRODUCT(N34,R33))</f>
        <v>1+1.66437688157397i</v>
      </c>
    </row>
    <row r="35" customFormat="false" ht="15" hidden="false" customHeight="false" outlineLevel="0" collapsed="false">
      <c r="A35" s="7" t="s">
        <v>66</v>
      </c>
      <c r="B35" s="7" t="s">
        <v>42</v>
      </c>
      <c r="C35" s="10" t="n">
        <f aca="false">P22/6</f>
        <v>0.777700200487811</v>
      </c>
      <c r="K35" s="7" t="str">
        <f aca="false">COMPLEX(1,0)</f>
        <v>1</v>
      </c>
      <c r="L35" s="7" t="str">
        <f aca="false">COMPLEX(-C35,0)</f>
        <v>-0.777700200487811</v>
      </c>
      <c r="M35" s="7" t="str">
        <f aca="false">COMPLEX(0,0)</f>
        <v>0</v>
      </c>
      <c r="N35" s="7" t="str">
        <f aca="false">COMPLEX(1,0)</f>
        <v>1</v>
      </c>
      <c r="O35" s="7" t="str">
        <f aca="false">IMSUM(IMPRODUCT(K35,O34),IMPRODUCT(L35,Q34))</f>
        <v>1+59.7409031301852i</v>
      </c>
      <c r="P35" s="7" t="str">
        <f aca="false">IMSUM(IMPRODUCT(K35,P34),IMPRODUCT(L35,R34))</f>
        <v>-4.79620120292686-7.7663174069241i</v>
      </c>
      <c r="Q35" s="7" t="str">
        <f aca="false">IMSUM(IMPRODUCT(M35,O34),IMPRODUCT(N35,Q34))</f>
        <v>-12.8028990890305i</v>
      </c>
      <c r="R35" s="7" t="str">
        <f aca="false">IMSUM(IMPRODUCT(M35,P34),IMPRODUCT(N35,R34))</f>
        <v>1+1.66437688157397i</v>
      </c>
    </row>
    <row r="36" customFormat="false" ht="15" hidden="false" customHeight="false" outlineLevel="0" collapsed="false">
      <c r="A36" s="7" t="s">
        <v>71</v>
      </c>
      <c r="B36" s="7" t="s">
        <v>65</v>
      </c>
      <c r="C36" s="10" t="n">
        <f aca="false">INDEX(Classes!$B$5:$F$9,MATCH($C$6,Classes!$A$5:$A$9,0),1)*(N22*1000)</f>
        <v>176052.5</v>
      </c>
      <c r="K36" s="7" t="str">
        <f aca="false">COMPLEX(1,0)</f>
        <v>1</v>
      </c>
      <c r="L36" s="7" t="str">
        <f aca="false">COMPLEX(0,0)</f>
        <v>0</v>
      </c>
      <c r="M36" s="7" t="str">
        <f aca="false">COMPLEX(0,-(2*PI()/($B$5*3600))*C36)</f>
        <v>-12.8028990890305i</v>
      </c>
      <c r="N36" s="7" t="str">
        <f aca="false">COMPLEX(1,0)</f>
        <v>1</v>
      </c>
      <c r="O36" s="7" t="str">
        <f aca="false">IMSUM(IMPRODUCT(K36,O35),IMPRODUCT(L36,Q35))</f>
        <v>1+59.7409031301852i</v>
      </c>
      <c r="P36" s="7" t="str">
        <f aca="false">IMSUM(IMPRODUCT(K36,P35),IMPRODUCT(L36,R35))</f>
        <v>-4.79620120292686-7.7663174069241i</v>
      </c>
      <c r="Q36" s="7" t="str">
        <f aca="false">IMSUM(IMPRODUCT(M36,O35),IMPRODUCT(N36,Q35))</f>
        <v>764.856754263307-25.605798178061i</v>
      </c>
      <c r="R36" s="7" t="str">
        <f aca="false">IMSUM(IMPRODUCT(M36,P35),IMPRODUCT(N36,R35))</f>
        <v>-98.4313780542303+63.0696568933333i</v>
      </c>
    </row>
    <row r="37" customFormat="false" ht="15" hidden="false" customHeight="false" outlineLevel="0" collapsed="false">
      <c r="A37" s="7" t="s">
        <v>72</v>
      </c>
      <c r="B37" s="7" t="s">
        <v>73</v>
      </c>
      <c r="K37" s="7" t="str">
        <f aca="false">K20</f>
        <v>1</v>
      </c>
      <c r="L37" s="7" t="str">
        <f aca="false">L20</f>
        <v>-0</v>
      </c>
      <c r="M37" s="7" t="str">
        <f aca="false">M20</f>
        <v>0</v>
      </c>
      <c r="N37" s="7" t="str">
        <f aca="false">N20</f>
        <v>1</v>
      </c>
      <c r="O37" s="7" t="str">
        <f aca="false">IMSUM(IMPRODUCT(K37,O36),IMPRODUCT(L37,Q36))</f>
        <v>1+59.7409031301852i</v>
      </c>
      <c r="P37" s="7" t="str">
        <f aca="false">IMSUM(IMPRODUCT(K37,P36),IMPRODUCT(L37,R36))</f>
        <v>-4.79620120292686-7.7663174069241i</v>
      </c>
      <c r="Q37" s="7" t="str">
        <f aca="false">IMSUM(IMPRODUCT(M37,O36),IMPRODUCT(N37,Q36))</f>
        <v>764.856754263307-25.605798178061i</v>
      </c>
      <c r="R37" s="7" t="str">
        <f aca="false">IMSUM(IMPRODUCT(M37,P36),IMPRODUCT(N37,R36))</f>
        <v>-98.4313780542303+63.0696568933333i</v>
      </c>
    </row>
    <row r="38" customFormat="false" ht="15" hidden="false" customHeight="false" outlineLevel="0" collapsed="false">
      <c r="A38" s="7" t="s">
        <v>52</v>
      </c>
      <c r="B38" s="7" t="s">
        <v>73</v>
      </c>
      <c r="K38" s="7" t="str">
        <f aca="false">K21</f>
        <v>1</v>
      </c>
      <c r="L38" s="7" t="str">
        <f aca="false">L21</f>
        <v>-0.04</v>
      </c>
      <c r="M38" s="7" t="str">
        <f aca="false">M21</f>
        <v>0</v>
      </c>
      <c r="N38" s="7" t="str">
        <f aca="false">N21</f>
        <v>1</v>
      </c>
      <c r="O38" s="7" t="str">
        <f aca="false">IMSUM(IMPRODUCT(K38,O37),IMPRODUCT(L38,Q37))</f>
        <v>-29.5942701705323+60.7651350573076i</v>
      </c>
      <c r="P38" s="7" t="str">
        <f aca="false">IMSUM(IMPRODUCT(K38,P37),IMPRODUCT(L38,R37))</f>
        <v>-0.85894608075765-10.2891036826574i</v>
      </c>
      <c r="Q38" s="7" t="str">
        <f aca="false">IMSUM(IMPRODUCT(M38,O37),IMPRODUCT(N38,Q37))</f>
        <v>764.856754263307-25.605798178061i</v>
      </c>
      <c r="R38" s="7" t="str">
        <f aca="false">IMSUM(IMPRODUCT(M38,P37),IMPRODUCT(N38,R37))</f>
        <v>-98.4313780542303+63.0696568933333i</v>
      </c>
    </row>
    <row r="39" customFormat="false" ht="15" hidden="false" customHeight="false" outlineLevel="0" collapsed="false">
      <c r="A39" s="9" t="s">
        <v>74</v>
      </c>
      <c r="B39" s="13" t="n">
        <f aca="false">IMABS(IMDIV(IMPRODUCT(O38,COMPLEX(-1,0)),P38))</f>
        <v>6.54618096559316</v>
      </c>
    </row>
    <row r="41" customFormat="false" ht="15" hidden="false" customHeight="false" outlineLevel="0" collapsed="false">
      <c r="A41" s="4" t="s">
        <v>172</v>
      </c>
    </row>
    <row r="42" customFormat="false" ht="30" hidden="false" customHeight="true" outlineLevel="0" collapsed="false">
      <c r="A42" s="22" t="s">
        <v>173</v>
      </c>
      <c r="B42" s="22" t="s">
        <v>54</v>
      </c>
      <c r="C42" s="22" t="s">
        <v>174</v>
      </c>
    </row>
    <row r="43" customFormat="false" ht="15" hidden="false" customHeight="false" outlineLevel="0" collapsed="false">
      <c r="A43" s="4" t="s">
        <v>175</v>
      </c>
      <c r="B43" s="13" t="n">
        <f aca="false">B65</f>
        <v>7.35029139117915</v>
      </c>
      <c r="C43" s="13" t="n">
        <f aca="false">B43/D22</f>
        <v>2.32259924742512</v>
      </c>
    </row>
    <row r="44" customFormat="false" ht="15" hidden="false" customHeight="false" outlineLevel="0" collapsed="false">
      <c r="A44" s="4" t="s">
        <v>176</v>
      </c>
      <c r="B44" s="13" t="n">
        <f aca="false">B82</f>
        <v>0.20765137415493</v>
      </c>
      <c r="C44" s="13" t="n">
        <f aca="false">B44/D22</f>
        <v>0.0656152116524</v>
      </c>
    </row>
    <row r="45" customFormat="false" ht="15" hidden="false" customHeight="false" outlineLevel="0" collapsed="false">
      <c r="A45" s="4" t="s">
        <v>177</v>
      </c>
      <c r="B45" s="13" t="n">
        <f aca="false">B99</f>
        <v>6.54618096559316</v>
      </c>
      <c r="C45" s="13" t="n">
        <f aca="false">B45/D22</f>
        <v>2.06851050863662</v>
      </c>
    </row>
    <row r="46" customFormat="false" ht="15" hidden="false" customHeight="false" outlineLevel="0" collapsed="false">
      <c r="A46" s="4" t="s">
        <v>178</v>
      </c>
      <c r="B46" s="13" t="n">
        <f aca="false">B116</f>
        <v>2.93635472119842</v>
      </c>
      <c r="C46" s="13" t="n">
        <f aca="false">B46/D22</f>
        <v>0.927851006534663</v>
      </c>
    </row>
    <row r="47" customFormat="false" ht="15" hidden="false" customHeight="false" outlineLevel="0" collapsed="false">
      <c r="A47" s="4" t="s">
        <v>179</v>
      </c>
      <c r="B47" s="13" t="n">
        <f aca="false">B133</f>
        <v>0.405835514477491</v>
      </c>
      <c r="C47" s="13" t="n">
        <f aca="false">B47/D22</f>
        <v>0.128238896982368</v>
      </c>
    </row>
    <row r="48" customFormat="false" ht="15" hidden="false" customHeight="false" outlineLevel="0" collapsed="false">
      <c r="A48" s="4" t="s">
        <v>180</v>
      </c>
      <c r="B48" s="13" t="n">
        <f aca="false">D22</f>
        <v>3.16468344649979</v>
      </c>
    </row>
    <row r="51" customFormat="false" ht="15" hidden="false" customHeight="false" outlineLevel="0" collapsed="false">
      <c r="A51" s="4" t="s">
        <v>181</v>
      </c>
    </row>
    <row r="52" customFormat="false" ht="15" hidden="false" customHeight="false" outlineLevel="0" collapsed="false">
      <c r="A52" s="9"/>
      <c r="B52" s="9" t="s">
        <v>62</v>
      </c>
      <c r="C52" s="9" t="s">
        <v>63</v>
      </c>
      <c r="D52" s="9"/>
      <c r="E52" s="9"/>
      <c r="F52" s="9"/>
      <c r="G52" s="9"/>
      <c r="H52" s="9"/>
      <c r="I52" s="9"/>
      <c r="J52" s="9"/>
      <c r="K52" s="9" t="s">
        <v>32</v>
      </c>
      <c r="L52" s="9" t="s">
        <v>33</v>
      </c>
      <c r="M52" s="9" t="s">
        <v>34</v>
      </c>
      <c r="N52" s="9" t="s">
        <v>35</v>
      </c>
      <c r="O52" s="9" t="s">
        <v>36</v>
      </c>
      <c r="P52" s="9" t="s">
        <v>37</v>
      </c>
      <c r="Q52" s="9" t="s">
        <v>38</v>
      </c>
      <c r="R52" s="9" t="s">
        <v>39</v>
      </c>
    </row>
    <row r="53" customFormat="false" ht="15" hidden="false" customHeight="false" outlineLevel="0" collapsed="false">
      <c r="A53" s="7" t="s">
        <v>22</v>
      </c>
      <c r="B53" s="7" t="s">
        <v>42</v>
      </c>
      <c r="C53" s="10" t="n">
        <f aca="false">$Y$9</f>
        <v>0.13</v>
      </c>
      <c r="K53" s="7" t="str">
        <f aca="false">COMPLEX(1,0)</f>
        <v>1</v>
      </c>
      <c r="L53" s="7" t="str">
        <f aca="false">COMPLEX(-C53,0)</f>
        <v>-0.13</v>
      </c>
      <c r="M53" s="7" t="str">
        <f aca="false">COMPLEX(0,0)</f>
        <v>0</v>
      </c>
      <c r="N53" s="7" t="str">
        <f aca="false">COMPLEX(1,0)</f>
        <v>1</v>
      </c>
      <c r="O53" s="7" t="str">
        <f aca="false">K53</f>
        <v>1</v>
      </c>
      <c r="P53" s="7" t="str">
        <f aca="false">L53</f>
        <v>-0.13</v>
      </c>
      <c r="Q53" s="7" t="str">
        <f aca="false">M53</f>
        <v>0</v>
      </c>
      <c r="R53" s="7" t="str">
        <f aca="false">N53</f>
        <v>1</v>
      </c>
    </row>
    <row r="54" customFormat="false" ht="15" hidden="false" customHeight="false" outlineLevel="0" collapsed="false">
      <c r="A54" s="7" t="s">
        <v>64</v>
      </c>
      <c r="B54" s="7" t="s">
        <v>65</v>
      </c>
      <c r="C54" s="10" t="n">
        <f aca="false">INDEX(Classes!$B$5:$F$9,MATCH("I",Classes!$A$5:$A$9,0),5)*(N22*1000)</f>
        <v>352105</v>
      </c>
      <c r="K54" s="7" t="str">
        <f aca="false">COMPLEX(1,0)</f>
        <v>1</v>
      </c>
      <c r="L54" s="7" t="str">
        <f aca="false">COMPLEX(0,0)</f>
        <v>0</v>
      </c>
      <c r="M54" s="7" t="str">
        <f aca="false">COMPLEX(0,-(2*PI()/($B$5*3600))*C54)</f>
        <v>-25.605798178061i</v>
      </c>
      <c r="N54" s="7" t="str">
        <f aca="false">COMPLEX(1,0)</f>
        <v>1</v>
      </c>
      <c r="O54" s="7" t="str">
        <f aca="false">IMSUM(IMPRODUCT(K54,O53),IMPRODUCT(L54,Q53))</f>
        <v>1</v>
      </c>
      <c r="P54" s="7" t="str">
        <f aca="false">IMSUM(IMPRODUCT(K54,P53),IMPRODUCT(L54,R53))</f>
        <v>-0.13</v>
      </c>
      <c r="Q54" s="7" t="str">
        <f aca="false">IMSUM(IMPRODUCT(M54,O53),IMPRODUCT(N54,Q53))</f>
        <v>-25.605798178061i</v>
      </c>
      <c r="R54" s="7" t="str">
        <f aca="false">IMSUM(IMPRODUCT(M54,P53),IMPRODUCT(N54,R53))</f>
        <v>1+3.32875376314793i</v>
      </c>
    </row>
    <row r="55" customFormat="false" ht="15" hidden="false" customHeight="false" outlineLevel="0" collapsed="false">
      <c r="A55" s="7" t="s">
        <v>66</v>
      </c>
      <c r="B55" s="7" t="s">
        <v>42</v>
      </c>
      <c r="C55" s="10" t="n">
        <f aca="false">P22/6</f>
        <v>0.777700200487811</v>
      </c>
      <c r="K55" s="7" t="str">
        <f aca="false">COMPLEX(1,0)</f>
        <v>1</v>
      </c>
      <c r="L55" s="7" t="str">
        <f aca="false">COMPLEX(-C55,0)</f>
        <v>-0.777700200487811</v>
      </c>
      <c r="M55" s="7" t="str">
        <f aca="false">COMPLEX(0,0)</f>
        <v>0</v>
      </c>
      <c r="N55" s="7" t="str">
        <f aca="false">COMPLEX(1,0)</f>
        <v>1</v>
      </c>
      <c r="O55" s="7" t="str">
        <f aca="false">IMSUM(IMPRODUCT(K55,O54),IMPRODUCT(L55,Q54))</f>
        <v>1+19.9136343767285i</v>
      </c>
      <c r="P55" s="7" t="str">
        <f aca="false">IMSUM(IMPRODUCT(K55,P54),IMPRODUCT(L55,R54))</f>
        <v>-0.907700200487811-2.5887724689747i</v>
      </c>
      <c r="Q55" s="7" t="str">
        <f aca="false">IMSUM(IMPRODUCT(M55,O54),IMPRODUCT(N55,Q54))</f>
        <v>-25.605798178061i</v>
      </c>
      <c r="R55" s="7" t="str">
        <f aca="false">IMSUM(IMPRODUCT(M55,P54),IMPRODUCT(N55,R54))</f>
        <v>1+3.32875376314793i</v>
      </c>
    </row>
    <row r="56" customFormat="false" ht="15" hidden="false" customHeight="false" outlineLevel="0" collapsed="false">
      <c r="A56" s="7" t="s">
        <v>67</v>
      </c>
      <c r="B56" s="7" t="s">
        <v>65</v>
      </c>
      <c r="C56" s="10" t="n">
        <f aca="false">INDEX(Classes!$B$5:$F$9,MATCH("I",Classes!$A$5:$A$9,0),4)*(N22*1000)</f>
        <v>0</v>
      </c>
      <c r="K56" s="7" t="str">
        <f aca="false">COMPLEX(1,0)</f>
        <v>1</v>
      </c>
      <c r="L56" s="7" t="str">
        <f aca="false">COMPLEX(0,0)</f>
        <v>0</v>
      </c>
      <c r="M56" s="7" t="str">
        <f aca="false">COMPLEX(0,-(2*PI()/($B$5*3600))*C56)</f>
        <v>0</v>
      </c>
      <c r="N56" s="7" t="str">
        <f aca="false">COMPLEX(1,0)</f>
        <v>1</v>
      </c>
      <c r="O56" s="7" t="str">
        <f aca="false">IMSUM(IMPRODUCT(K56,O55),IMPRODUCT(L56,Q55))</f>
        <v>1+19.9136343767285i</v>
      </c>
      <c r="P56" s="7" t="str">
        <f aca="false">IMSUM(IMPRODUCT(K56,P55),IMPRODUCT(L56,R55))</f>
        <v>-0.907700200487811-2.5887724689747i</v>
      </c>
      <c r="Q56" s="7" t="str">
        <f aca="false">IMSUM(IMPRODUCT(M56,O55),IMPRODUCT(N56,Q55))</f>
        <v>-25.605798178061i</v>
      </c>
      <c r="R56" s="7" t="str">
        <f aca="false">IMSUM(IMPRODUCT(M56,P55),IMPRODUCT(N56,R55))</f>
        <v>1+3.32875376314793i</v>
      </c>
    </row>
    <row r="57" customFormat="false" ht="15" hidden="false" customHeight="false" outlineLevel="0" collapsed="false">
      <c r="A57" s="7" t="s">
        <v>68</v>
      </c>
      <c r="B57" s="7" t="s">
        <v>42</v>
      </c>
      <c r="C57" s="10" t="n">
        <f aca="false">P22/3</f>
        <v>1.55540040097562</v>
      </c>
      <c r="K57" s="7" t="str">
        <f aca="false">COMPLEX(1,0)</f>
        <v>1</v>
      </c>
      <c r="L57" s="7" t="str">
        <f aca="false">COMPLEX(-C57,0)</f>
        <v>-1.55540040097562</v>
      </c>
      <c r="M57" s="7" t="str">
        <f aca="false">COMPLEX(0,0)</f>
        <v>0</v>
      </c>
      <c r="N57" s="7" t="str">
        <f aca="false">COMPLEX(1,0)</f>
        <v>1</v>
      </c>
      <c r="O57" s="7" t="str">
        <f aca="false">IMSUM(IMPRODUCT(K57,O56),IMPRODUCT(L57,Q56))</f>
        <v>1+59.7409031301854i</v>
      </c>
      <c r="P57" s="7" t="str">
        <f aca="false">IMSUM(IMPRODUCT(K57,P56),IMPRODUCT(L57,R56))</f>
        <v>-2.46310060146343-7.76631740692409i</v>
      </c>
      <c r="Q57" s="7" t="str">
        <f aca="false">IMSUM(IMPRODUCT(M57,O56),IMPRODUCT(N57,Q56))</f>
        <v>-25.605798178061i</v>
      </c>
      <c r="R57" s="7" t="str">
        <f aca="false">IMSUM(IMPRODUCT(M57,P56),IMPRODUCT(N57,R56))</f>
        <v>1+3.32875376314793i</v>
      </c>
    </row>
    <row r="58" customFormat="false" ht="15" hidden="false" customHeight="false" outlineLevel="0" collapsed="false">
      <c r="A58" s="7" t="s">
        <v>69</v>
      </c>
      <c r="B58" s="7" t="s">
        <v>65</v>
      </c>
      <c r="C58" s="10" t="n">
        <f aca="false">INDEX(Classes!$B$5:$F$9,MATCH("I",Classes!$A$5:$A$9,0),3)*(N22*1000)</f>
        <v>0</v>
      </c>
      <c r="K58" s="7" t="str">
        <f aca="false">COMPLEX(1,0)</f>
        <v>1</v>
      </c>
      <c r="L58" s="7" t="str">
        <f aca="false">COMPLEX(0,0)</f>
        <v>0</v>
      </c>
      <c r="M58" s="7" t="str">
        <f aca="false">COMPLEX(0,-(2*PI()/($B$5*3600))*C58)</f>
        <v>0</v>
      </c>
      <c r="N58" s="7" t="str">
        <f aca="false">COMPLEX(1,0)</f>
        <v>1</v>
      </c>
      <c r="O58" s="7" t="str">
        <f aca="false">IMSUM(IMPRODUCT(K58,O57),IMPRODUCT(L58,Q57))</f>
        <v>1+59.7409031301854i</v>
      </c>
      <c r="P58" s="7" t="str">
        <f aca="false">IMSUM(IMPRODUCT(K58,P57),IMPRODUCT(L58,R57))</f>
        <v>-2.46310060146343-7.76631740692409i</v>
      </c>
      <c r="Q58" s="7" t="str">
        <f aca="false">IMSUM(IMPRODUCT(M58,O57),IMPRODUCT(N58,Q57))</f>
        <v>-25.605798178061i</v>
      </c>
      <c r="R58" s="7" t="str">
        <f aca="false">IMSUM(IMPRODUCT(M58,P57),IMPRODUCT(N58,R57))</f>
        <v>1+3.32875376314793i</v>
      </c>
    </row>
    <row r="59" customFormat="false" ht="15" hidden="false" customHeight="false" outlineLevel="0" collapsed="false">
      <c r="A59" s="7" t="s">
        <v>68</v>
      </c>
      <c r="B59" s="7" t="s">
        <v>42</v>
      </c>
      <c r="C59" s="10" t="n">
        <f aca="false">P22/3</f>
        <v>1.55540040097562</v>
      </c>
      <c r="K59" s="7" t="str">
        <f aca="false">COMPLEX(1,0)</f>
        <v>1</v>
      </c>
      <c r="L59" s="7" t="str">
        <f aca="false">COMPLEX(-C59,0)</f>
        <v>-1.55540040097562</v>
      </c>
      <c r="M59" s="7" t="str">
        <f aca="false">COMPLEX(0,0)</f>
        <v>0</v>
      </c>
      <c r="N59" s="7" t="str">
        <f aca="false">COMPLEX(1,0)</f>
        <v>1</v>
      </c>
      <c r="O59" s="7" t="str">
        <f aca="false">IMSUM(IMPRODUCT(K59,O58),IMPRODUCT(L59,Q58))</f>
        <v>1+99.5681718836423i</v>
      </c>
      <c r="P59" s="7" t="str">
        <f aca="false">IMSUM(IMPRODUCT(K59,P58),IMPRODUCT(L59,R58))</f>
        <v>-4.01850100243905-12.9438623448735i</v>
      </c>
      <c r="Q59" s="7" t="str">
        <f aca="false">IMSUM(IMPRODUCT(M59,O58),IMPRODUCT(N59,Q58))</f>
        <v>-25.605798178061i</v>
      </c>
      <c r="R59" s="7" t="str">
        <f aca="false">IMSUM(IMPRODUCT(M59,P58),IMPRODUCT(N59,R58))</f>
        <v>1+3.32875376314793i</v>
      </c>
    </row>
    <row r="60" customFormat="false" ht="15" hidden="false" customHeight="false" outlineLevel="0" collapsed="false">
      <c r="A60" s="7" t="s">
        <v>70</v>
      </c>
      <c r="B60" s="7" t="s">
        <v>65</v>
      </c>
      <c r="C60" s="10" t="n">
        <f aca="false">INDEX(Classes!$B$5:$F$9,MATCH("I",Classes!$A$5:$A$9,0),2)*(N22*1000)</f>
        <v>0</v>
      </c>
      <c r="K60" s="7" t="str">
        <f aca="false">COMPLEX(1,0)</f>
        <v>1</v>
      </c>
      <c r="L60" s="7" t="str">
        <f aca="false">COMPLEX(0,0)</f>
        <v>0</v>
      </c>
      <c r="M60" s="7" t="str">
        <f aca="false">COMPLEX(0,-(2*PI()/($B$5*3600))*C60)</f>
        <v>0</v>
      </c>
      <c r="N60" s="7" t="str">
        <f aca="false">COMPLEX(1,0)</f>
        <v>1</v>
      </c>
      <c r="O60" s="7" t="str">
        <f aca="false">IMSUM(IMPRODUCT(K60,O59),IMPRODUCT(L60,Q59))</f>
        <v>1+99.5681718836423i</v>
      </c>
      <c r="P60" s="7" t="str">
        <f aca="false">IMSUM(IMPRODUCT(K60,P59),IMPRODUCT(L60,R59))</f>
        <v>-4.01850100243905-12.9438623448735i</v>
      </c>
      <c r="Q60" s="7" t="str">
        <f aca="false">IMSUM(IMPRODUCT(M60,O59),IMPRODUCT(N60,Q59))</f>
        <v>-25.605798178061i</v>
      </c>
      <c r="R60" s="7" t="str">
        <f aca="false">IMSUM(IMPRODUCT(M60,P59),IMPRODUCT(N60,R59))</f>
        <v>1+3.32875376314793i</v>
      </c>
    </row>
    <row r="61" customFormat="false" ht="15" hidden="false" customHeight="false" outlineLevel="0" collapsed="false">
      <c r="A61" s="7" t="s">
        <v>66</v>
      </c>
      <c r="B61" s="7" t="s">
        <v>42</v>
      </c>
      <c r="C61" s="10" t="n">
        <f aca="false">P22/6</f>
        <v>0.777700200487811</v>
      </c>
      <c r="K61" s="7" t="str">
        <f aca="false">COMPLEX(1,0)</f>
        <v>1</v>
      </c>
      <c r="L61" s="7" t="str">
        <f aca="false">COMPLEX(-C61,0)</f>
        <v>-0.777700200487811</v>
      </c>
      <c r="M61" s="7" t="str">
        <f aca="false">COMPLEX(0,0)</f>
        <v>0</v>
      </c>
      <c r="N61" s="7" t="str">
        <f aca="false">COMPLEX(1,0)</f>
        <v>1</v>
      </c>
      <c r="O61" s="7" t="str">
        <f aca="false">IMSUM(IMPRODUCT(K61,O60),IMPRODUCT(L61,Q60))</f>
        <v>1+119.481806260371i</v>
      </c>
      <c r="P61" s="7" t="str">
        <f aca="false">IMSUM(IMPRODUCT(K61,P60),IMPRODUCT(L61,R60))</f>
        <v>-4.79620120292686-15.5326348138482i</v>
      </c>
      <c r="Q61" s="7" t="str">
        <f aca="false">IMSUM(IMPRODUCT(M61,O60),IMPRODUCT(N61,Q60))</f>
        <v>-25.605798178061i</v>
      </c>
      <c r="R61" s="7" t="str">
        <f aca="false">IMSUM(IMPRODUCT(M61,P60),IMPRODUCT(N61,R60))</f>
        <v>1+3.32875376314793i</v>
      </c>
    </row>
    <row r="62" customFormat="false" ht="15" hidden="false" customHeight="false" outlineLevel="0" collapsed="false">
      <c r="A62" s="7" t="s">
        <v>71</v>
      </c>
      <c r="B62" s="7" t="s">
        <v>65</v>
      </c>
      <c r="C62" s="10" t="n">
        <f aca="false">INDEX(Classes!$B$5:$F$9,MATCH("I",Classes!$A$5:$A$9,0),1)*(N22*1000)</f>
        <v>0</v>
      </c>
      <c r="K62" s="7" t="str">
        <f aca="false">COMPLEX(1,0)</f>
        <v>1</v>
      </c>
      <c r="L62" s="7" t="str">
        <f aca="false">COMPLEX(0,0)</f>
        <v>0</v>
      </c>
      <c r="M62" s="7" t="str">
        <f aca="false">COMPLEX(0,-(2*PI()/($B$5*3600))*C62)</f>
        <v>0</v>
      </c>
      <c r="N62" s="7" t="str">
        <f aca="false">COMPLEX(1,0)</f>
        <v>1</v>
      </c>
      <c r="O62" s="7" t="str">
        <f aca="false">IMSUM(IMPRODUCT(K62,O61),IMPRODUCT(L62,Q61))</f>
        <v>1+119.481806260371i</v>
      </c>
      <c r="P62" s="7" t="str">
        <f aca="false">IMSUM(IMPRODUCT(K62,P61),IMPRODUCT(L62,R61))</f>
        <v>-4.79620120292686-15.5326348138482i</v>
      </c>
      <c r="Q62" s="7" t="str">
        <f aca="false">IMSUM(IMPRODUCT(M62,O61),IMPRODUCT(N62,Q61))</f>
        <v>-25.605798178061i</v>
      </c>
      <c r="R62" s="7" t="str">
        <f aca="false">IMSUM(IMPRODUCT(M62,P61),IMPRODUCT(N62,R61))</f>
        <v>1+3.32875376314793i</v>
      </c>
    </row>
    <row r="63" customFormat="false" ht="15" hidden="false" customHeight="false" outlineLevel="0" collapsed="false">
      <c r="A63" s="7" t="s">
        <v>72</v>
      </c>
      <c r="B63" s="7" t="s">
        <v>73</v>
      </c>
      <c r="K63" s="7" t="str">
        <f aca="false">K20</f>
        <v>1</v>
      </c>
      <c r="L63" s="7" t="str">
        <f aca="false">L20</f>
        <v>-0</v>
      </c>
      <c r="M63" s="7" t="str">
        <f aca="false">M20</f>
        <v>0</v>
      </c>
      <c r="N63" s="7" t="str">
        <f aca="false">N20</f>
        <v>1</v>
      </c>
      <c r="O63" s="7" t="str">
        <f aca="false">IMSUM(IMPRODUCT(K63,O62),IMPRODUCT(L63,Q62))</f>
        <v>1+119.481806260371i</v>
      </c>
      <c r="P63" s="7" t="str">
        <f aca="false">IMSUM(IMPRODUCT(K63,P62),IMPRODUCT(L63,R62))</f>
        <v>-4.79620120292686-15.5326348138482i</v>
      </c>
      <c r="Q63" s="7" t="str">
        <f aca="false">IMSUM(IMPRODUCT(M63,O62),IMPRODUCT(N63,Q62))</f>
        <v>-25.605798178061i</v>
      </c>
      <c r="R63" s="7" t="str">
        <f aca="false">IMSUM(IMPRODUCT(M63,P62),IMPRODUCT(N63,R62))</f>
        <v>1+3.32875376314793i</v>
      </c>
    </row>
    <row r="64" customFormat="false" ht="15" hidden="false" customHeight="false" outlineLevel="0" collapsed="false">
      <c r="A64" s="7" t="s">
        <v>52</v>
      </c>
      <c r="B64" s="7" t="s">
        <v>73</v>
      </c>
      <c r="K64" s="7" t="str">
        <f aca="false">K21</f>
        <v>1</v>
      </c>
      <c r="L64" s="7" t="str">
        <f aca="false">L21</f>
        <v>-0.04</v>
      </c>
      <c r="M64" s="7" t="str">
        <f aca="false">M21</f>
        <v>0</v>
      </c>
      <c r="N64" s="7" t="str">
        <f aca="false">N21</f>
        <v>1</v>
      </c>
      <c r="O64" s="7" t="str">
        <f aca="false">IMSUM(IMPRODUCT(K64,O63),IMPRODUCT(L64,Q63))</f>
        <v>1+120.506038187493i</v>
      </c>
      <c r="P64" s="7" t="str">
        <f aca="false">IMSUM(IMPRODUCT(K64,P63),IMPRODUCT(L64,R63))</f>
        <v>-4.83620120292686-15.6657849643741i</v>
      </c>
      <c r="Q64" s="7" t="str">
        <f aca="false">IMSUM(IMPRODUCT(M64,O63),IMPRODUCT(N64,Q63))</f>
        <v>-25.605798178061i</v>
      </c>
      <c r="R64" s="7" t="str">
        <f aca="false">IMSUM(IMPRODUCT(M64,P63),IMPRODUCT(N64,R63))</f>
        <v>1+3.32875376314793i</v>
      </c>
    </row>
    <row r="65" customFormat="false" ht="15" hidden="false" customHeight="false" outlineLevel="0" collapsed="false">
      <c r="A65" s="9" t="s">
        <v>74</v>
      </c>
      <c r="B65" s="13" t="n">
        <f aca="false">IMABS(IMDIV(IMPRODUCT(O64,COMPLEX(-1,0)),P64))</f>
        <v>7.35029139117915</v>
      </c>
    </row>
    <row r="68" customFormat="false" ht="15" hidden="false" customHeight="false" outlineLevel="0" collapsed="false">
      <c r="A68" s="4" t="s">
        <v>182</v>
      </c>
    </row>
    <row r="69" customFormat="false" ht="15" hidden="false" customHeight="false" outlineLevel="0" collapsed="false">
      <c r="A69" s="9"/>
      <c r="B69" s="9" t="s">
        <v>62</v>
      </c>
      <c r="C69" s="9" t="s">
        <v>63</v>
      </c>
      <c r="D69" s="9"/>
      <c r="E69" s="9"/>
      <c r="F69" s="9"/>
      <c r="G69" s="9"/>
      <c r="H69" s="9"/>
      <c r="I69" s="9"/>
      <c r="J69" s="9"/>
      <c r="K69" s="9" t="s">
        <v>32</v>
      </c>
      <c r="L69" s="9" t="s">
        <v>33</v>
      </c>
      <c r="M69" s="9" t="s">
        <v>34</v>
      </c>
      <c r="N69" s="9" t="s">
        <v>35</v>
      </c>
      <c r="O69" s="9" t="s">
        <v>36</v>
      </c>
      <c r="P69" s="9" t="s">
        <v>37</v>
      </c>
      <c r="Q69" s="9" t="s">
        <v>38</v>
      </c>
      <c r="R69" s="9" t="s">
        <v>39</v>
      </c>
    </row>
    <row r="70" customFormat="false" ht="15" hidden="false" customHeight="false" outlineLevel="0" collapsed="false">
      <c r="A70" s="7" t="s">
        <v>22</v>
      </c>
      <c r="B70" s="7" t="s">
        <v>42</v>
      </c>
      <c r="C70" s="10" t="n">
        <f aca="false">$Y$9</f>
        <v>0.13</v>
      </c>
      <c r="K70" s="7" t="str">
        <f aca="false">COMPLEX(1,0)</f>
        <v>1</v>
      </c>
      <c r="L70" s="7" t="str">
        <f aca="false">COMPLEX(-C70,0)</f>
        <v>-0.13</v>
      </c>
      <c r="M70" s="7" t="str">
        <f aca="false">COMPLEX(0,0)</f>
        <v>0</v>
      </c>
      <c r="N70" s="7" t="str">
        <f aca="false">COMPLEX(1,0)</f>
        <v>1</v>
      </c>
      <c r="O70" s="7" t="str">
        <f aca="false">K70</f>
        <v>1</v>
      </c>
      <c r="P70" s="7" t="str">
        <f aca="false">L70</f>
        <v>-0.13</v>
      </c>
      <c r="Q70" s="7" t="str">
        <f aca="false">M70</f>
        <v>0</v>
      </c>
      <c r="R70" s="7" t="str">
        <f aca="false">N70</f>
        <v>1</v>
      </c>
    </row>
    <row r="71" customFormat="false" ht="15" hidden="false" customHeight="false" outlineLevel="0" collapsed="false">
      <c r="A71" s="7" t="s">
        <v>64</v>
      </c>
      <c r="B71" s="7" t="s">
        <v>65</v>
      </c>
      <c r="C71" s="10" t="n">
        <f aca="false">INDEX(Classes!$B$5:$F$9,MATCH("E",Classes!$A$5:$A$9,0),5)*(N22*1000)</f>
        <v>0</v>
      </c>
      <c r="K71" s="7" t="str">
        <f aca="false">COMPLEX(1,0)</f>
        <v>1</v>
      </c>
      <c r="L71" s="7" t="str">
        <f aca="false">COMPLEX(0,0)</f>
        <v>0</v>
      </c>
      <c r="M71" s="7" t="str">
        <f aca="false">COMPLEX(0,-(2*PI()/($B$5*3600))*C71)</f>
        <v>0</v>
      </c>
      <c r="N71" s="7" t="str">
        <f aca="false">COMPLEX(1,0)</f>
        <v>1</v>
      </c>
      <c r="O71" s="7" t="str">
        <f aca="false">IMSUM(IMPRODUCT(K71,O70),IMPRODUCT(L71,Q70))</f>
        <v>1</v>
      </c>
      <c r="P71" s="7" t="str">
        <f aca="false">IMSUM(IMPRODUCT(K71,P70),IMPRODUCT(L71,R70))</f>
        <v>-0.13</v>
      </c>
      <c r="Q71" s="7" t="str">
        <f aca="false">IMSUM(IMPRODUCT(M71,O70),IMPRODUCT(N71,Q70))</f>
        <v>0</v>
      </c>
      <c r="R71" s="7" t="str">
        <f aca="false">IMSUM(IMPRODUCT(M71,P70),IMPRODUCT(N71,R70))</f>
        <v>1</v>
      </c>
    </row>
    <row r="72" customFormat="false" ht="15" hidden="false" customHeight="false" outlineLevel="0" collapsed="false">
      <c r="A72" s="7" t="s">
        <v>66</v>
      </c>
      <c r="B72" s="7" t="s">
        <v>42</v>
      </c>
      <c r="C72" s="10" t="n">
        <f aca="false">P22/6</f>
        <v>0.777700200487811</v>
      </c>
      <c r="K72" s="7" t="str">
        <f aca="false">COMPLEX(1,0)</f>
        <v>1</v>
      </c>
      <c r="L72" s="7" t="str">
        <f aca="false">COMPLEX(-C72,0)</f>
        <v>-0.777700200487811</v>
      </c>
      <c r="M72" s="7" t="str">
        <f aca="false">COMPLEX(0,0)</f>
        <v>0</v>
      </c>
      <c r="N72" s="7" t="str">
        <f aca="false">COMPLEX(1,0)</f>
        <v>1</v>
      </c>
      <c r="O72" s="7" t="str">
        <f aca="false">IMSUM(IMPRODUCT(K72,O71),IMPRODUCT(L72,Q71))</f>
        <v>1</v>
      </c>
      <c r="P72" s="7" t="str">
        <f aca="false">IMSUM(IMPRODUCT(K72,P71),IMPRODUCT(L72,R71))</f>
        <v>-0.907700200487811</v>
      </c>
      <c r="Q72" s="7" t="str">
        <f aca="false">IMSUM(IMPRODUCT(M72,O71),IMPRODUCT(N72,Q71))</f>
        <v>0</v>
      </c>
      <c r="R72" s="7" t="str">
        <f aca="false">IMSUM(IMPRODUCT(M72,P71),IMPRODUCT(N72,R71))</f>
        <v>1</v>
      </c>
    </row>
    <row r="73" customFormat="false" ht="15" hidden="false" customHeight="false" outlineLevel="0" collapsed="false">
      <c r="A73" s="7" t="s">
        <v>67</v>
      </c>
      <c r="B73" s="7" t="s">
        <v>65</v>
      </c>
      <c r="C73" s="10" t="n">
        <f aca="false">INDEX(Classes!$B$5:$F$9,MATCH("E",Classes!$A$5:$A$9,0),4)*(N22*1000)</f>
        <v>0</v>
      </c>
      <c r="K73" s="7" t="str">
        <f aca="false">COMPLEX(1,0)</f>
        <v>1</v>
      </c>
      <c r="L73" s="7" t="str">
        <f aca="false">COMPLEX(0,0)</f>
        <v>0</v>
      </c>
      <c r="M73" s="7" t="str">
        <f aca="false">COMPLEX(0,-(2*PI()/($B$5*3600))*C73)</f>
        <v>0</v>
      </c>
      <c r="N73" s="7" t="str">
        <f aca="false">COMPLEX(1,0)</f>
        <v>1</v>
      </c>
      <c r="O73" s="7" t="str">
        <f aca="false">IMSUM(IMPRODUCT(K73,O72),IMPRODUCT(L73,Q72))</f>
        <v>1</v>
      </c>
      <c r="P73" s="7" t="str">
        <f aca="false">IMSUM(IMPRODUCT(K73,P72),IMPRODUCT(L73,R72))</f>
        <v>-0.907700200487811</v>
      </c>
      <c r="Q73" s="7" t="str">
        <f aca="false">IMSUM(IMPRODUCT(M73,O72),IMPRODUCT(N73,Q72))</f>
        <v>0</v>
      </c>
      <c r="R73" s="7" t="str">
        <f aca="false">IMSUM(IMPRODUCT(M73,P72),IMPRODUCT(N73,R72))</f>
        <v>1</v>
      </c>
    </row>
    <row r="74" customFormat="false" ht="15" hidden="false" customHeight="false" outlineLevel="0" collapsed="false">
      <c r="A74" s="7" t="s">
        <v>68</v>
      </c>
      <c r="B74" s="7" t="s">
        <v>42</v>
      </c>
      <c r="C74" s="10" t="n">
        <f aca="false">P22/3</f>
        <v>1.55540040097562</v>
      </c>
      <c r="K74" s="7" t="str">
        <f aca="false">COMPLEX(1,0)</f>
        <v>1</v>
      </c>
      <c r="L74" s="7" t="str">
        <f aca="false">COMPLEX(-C74,0)</f>
        <v>-1.55540040097562</v>
      </c>
      <c r="M74" s="7" t="str">
        <f aca="false">COMPLEX(0,0)</f>
        <v>0</v>
      </c>
      <c r="N74" s="7" t="str">
        <f aca="false">COMPLEX(1,0)</f>
        <v>1</v>
      </c>
      <c r="O74" s="7" t="str">
        <f aca="false">IMSUM(IMPRODUCT(K74,O73),IMPRODUCT(L74,Q73))</f>
        <v>1</v>
      </c>
      <c r="P74" s="7" t="str">
        <f aca="false">IMSUM(IMPRODUCT(K74,P73),IMPRODUCT(L74,R73))</f>
        <v>-2.46310060146343</v>
      </c>
      <c r="Q74" s="7" t="str">
        <f aca="false">IMSUM(IMPRODUCT(M74,O73),IMPRODUCT(N74,Q73))</f>
        <v>0</v>
      </c>
      <c r="R74" s="7" t="str">
        <f aca="false">IMSUM(IMPRODUCT(M74,P73),IMPRODUCT(N74,R73))</f>
        <v>1</v>
      </c>
    </row>
    <row r="75" customFormat="false" ht="15" hidden="false" customHeight="false" outlineLevel="0" collapsed="false">
      <c r="A75" s="7" t="s">
        <v>69</v>
      </c>
      <c r="B75" s="7" t="s">
        <v>65</v>
      </c>
      <c r="C75" s="10" t="n">
        <f aca="false">INDEX(Classes!$B$5:$F$9,MATCH("E",Classes!$A$5:$A$9,0),3)*(N22*1000)</f>
        <v>0</v>
      </c>
      <c r="K75" s="7" t="str">
        <f aca="false">COMPLEX(1,0)</f>
        <v>1</v>
      </c>
      <c r="L75" s="7" t="str">
        <f aca="false">COMPLEX(0,0)</f>
        <v>0</v>
      </c>
      <c r="M75" s="7" t="str">
        <f aca="false">COMPLEX(0,-(2*PI()/($B$5*3600))*C75)</f>
        <v>0</v>
      </c>
      <c r="N75" s="7" t="str">
        <f aca="false">COMPLEX(1,0)</f>
        <v>1</v>
      </c>
      <c r="O75" s="7" t="str">
        <f aca="false">IMSUM(IMPRODUCT(K75,O74),IMPRODUCT(L75,Q74))</f>
        <v>1</v>
      </c>
      <c r="P75" s="7" t="str">
        <f aca="false">IMSUM(IMPRODUCT(K75,P74),IMPRODUCT(L75,R74))</f>
        <v>-2.46310060146343</v>
      </c>
      <c r="Q75" s="7" t="str">
        <f aca="false">IMSUM(IMPRODUCT(M75,O74),IMPRODUCT(N75,Q74))</f>
        <v>0</v>
      </c>
      <c r="R75" s="7" t="str">
        <f aca="false">IMSUM(IMPRODUCT(M75,P74),IMPRODUCT(N75,R74))</f>
        <v>1</v>
      </c>
    </row>
    <row r="76" customFormat="false" ht="15" hidden="false" customHeight="false" outlineLevel="0" collapsed="false">
      <c r="A76" s="7" t="s">
        <v>68</v>
      </c>
      <c r="B76" s="7" t="s">
        <v>42</v>
      </c>
      <c r="C76" s="10" t="n">
        <f aca="false">P22/3</f>
        <v>1.55540040097562</v>
      </c>
      <c r="K76" s="7" t="str">
        <f aca="false">COMPLEX(1,0)</f>
        <v>1</v>
      </c>
      <c r="L76" s="7" t="str">
        <f aca="false">COMPLEX(-C76,0)</f>
        <v>-1.55540040097562</v>
      </c>
      <c r="M76" s="7" t="str">
        <f aca="false">COMPLEX(0,0)</f>
        <v>0</v>
      </c>
      <c r="N76" s="7" t="str">
        <f aca="false">COMPLEX(1,0)</f>
        <v>1</v>
      </c>
      <c r="O76" s="7" t="str">
        <f aca="false">IMSUM(IMPRODUCT(K76,O75),IMPRODUCT(L76,Q75))</f>
        <v>1</v>
      </c>
      <c r="P76" s="7" t="str">
        <f aca="false">IMSUM(IMPRODUCT(K76,P75),IMPRODUCT(L76,R75))</f>
        <v>-4.01850100243905</v>
      </c>
      <c r="Q76" s="7" t="str">
        <f aca="false">IMSUM(IMPRODUCT(M76,O75),IMPRODUCT(N76,Q75))</f>
        <v>0</v>
      </c>
      <c r="R76" s="7" t="str">
        <f aca="false">IMSUM(IMPRODUCT(M76,P75),IMPRODUCT(N76,R75))</f>
        <v>1</v>
      </c>
    </row>
    <row r="77" customFormat="false" ht="15" hidden="false" customHeight="false" outlineLevel="0" collapsed="false">
      <c r="A77" s="7" t="s">
        <v>70</v>
      </c>
      <c r="B77" s="7" t="s">
        <v>65</v>
      </c>
      <c r="C77" s="10" t="n">
        <f aca="false">INDEX(Classes!$B$5:$F$9,MATCH("E",Classes!$A$5:$A$9,0),2)*(N22*1000)</f>
        <v>0</v>
      </c>
      <c r="K77" s="7" t="str">
        <f aca="false">COMPLEX(1,0)</f>
        <v>1</v>
      </c>
      <c r="L77" s="7" t="str">
        <f aca="false">COMPLEX(0,0)</f>
        <v>0</v>
      </c>
      <c r="M77" s="7" t="str">
        <f aca="false">COMPLEX(0,-(2*PI()/($B$5*3600))*C77)</f>
        <v>0</v>
      </c>
      <c r="N77" s="7" t="str">
        <f aca="false">COMPLEX(1,0)</f>
        <v>1</v>
      </c>
      <c r="O77" s="7" t="str">
        <f aca="false">IMSUM(IMPRODUCT(K77,O76),IMPRODUCT(L77,Q76))</f>
        <v>1</v>
      </c>
      <c r="P77" s="7" t="str">
        <f aca="false">IMSUM(IMPRODUCT(K77,P76),IMPRODUCT(L77,R76))</f>
        <v>-4.01850100243905</v>
      </c>
      <c r="Q77" s="7" t="str">
        <f aca="false">IMSUM(IMPRODUCT(M77,O76),IMPRODUCT(N77,Q76))</f>
        <v>0</v>
      </c>
      <c r="R77" s="7" t="str">
        <f aca="false">IMSUM(IMPRODUCT(M77,P76),IMPRODUCT(N77,R76))</f>
        <v>1</v>
      </c>
    </row>
    <row r="78" customFormat="false" ht="15" hidden="false" customHeight="false" outlineLevel="0" collapsed="false">
      <c r="A78" s="7" t="s">
        <v>66</v>
      </c>
      <c r="B78" s="7" t="s">
        <v>42</v>
      </c>
      <c r="C78" s="10" t="n">
        <f aca="false">P22/6</f>
        <v>0.777700200487811</v>
      </c>
      <c r="K78" s="7" t="str">
        <f aca="false">COMPLEX(1,0)</f>
        <v>1</v>
      </c>
      <c r="L78" s="7" t="str">
        <f aca="false">COMPLEX(-C78,0)</f>
        <v>-0.777700200487811</v>
      </c>
      <c r="M78" s="7" t="str">
        <f aca="false">COMPLEX(0,0)</f>
        <v>0</v>
      </c>
      <c r="N78" s="7" t="str">
        <f aca="false">COMPLEX(1,0)</f>
        <v>1</v>
      </c>
      <c r="O78" s="7" t="str">
        <f aca="false">IMSUM(IMPRODUCT(K78,O77),IMPRODUCT(L78,Q77))</f>
        <v>1</v>
      </c>
      <c r="P78" s="7" t="str">
        <f aca="false">IMSUM(IMPRODUCT(K78,P77),IMPRODUCT(L78,R77))</f>
        <v>-4.79620120292686</v>
      </c>
      <c r="Q78" s="7" t="str">
        <f aca="false">IMSUM(IMPRODUCT(M78,O77),IMPRODUCT(N78,Q77))</f>
        <v>0</v>
      </c>
      <c r="R78" s="7" t="str">
        <f aca="false">IMSUM(IMPRODUCT(M78,P77),IMPRODUCT(N78,R77))</f>
        <v>1</v>
      </c>
    </row>
    <row r="79" customFormat="false" ht="15" hidden="false" customHeight="false" outlineLevel="0" collapsed="false">
      <c r="A79" s="7" t="s">
        <v>71</v>
      </c>
      <c r="B79" s="7" t="s">
        <v>65</v>
      </c>
      <c r="C79" s="10" t="n">
        <f aca="false">INDEX(Classes!$B$5:$F$9,MATCH("E",Classes!$A$5:$A$9,0),1)*(N22*1000)</f>
        <v>352105</v>
      </c>
      <c r="K79" s="7" t="str">
        <f aca="false">COMPLEX(1,0)</f>
        <v>1</v>
      </c>
      <c r="L79" s="7" t="str">
        <f aca="false">COMPLEX(0,0)</f>
        <v>0</v>
      </c>
      <c r="M79" s="7" t="str">
        <f aca="false">COMPLEX(0,-(2*PI()/($B$5*3600))*C79)</f>
        <v>-25.605798178061i</v>
      </c>
      <c r="N79" s="7" t="str">
        <f aca="false">COMPLEX(1,0)</f>
        <v>1</v>
      </c>
      <c r="O79" s="7" t="str">
        <f aca="false">IMSUM(IMPRODUCT(K79,O78),IMPRODUCT(L79,Q78))</f>
        <v>1</v>
      </c>
      <c r="P79" s="7" t="str">
        <f aca="false">IMSUM(IMPRODUCT(K79,P78),IMPRODUCT(L79,R78))</f>
        <v>-4.79620120292686</v>
      </c>
      <c r="Q79" s="7" t="str">
        <f aca="false">IMSUM(IMPRODUCT(M79,O78),IMPRODUCT(N79,Q78))</f>
        <v>-25.605798178061i</v>
      </c>
      <c r="R79" s="7" t="str">
        <f aca="false">IMSUM(IMPRODUCT(M79,P78),IMPRODUCT(N79,R78))</f>
        <v>1+122.810560023519i</v>
      </c>
    </row>
    <row r="80" customFormat="false" ht="15" hidden="false" customHeight="false" outlineLevel="0" collapsed="false">
      <c r="A80" s="7" t="s">
        <v>72</v>
      </c>
      <c r="B80" s="7" t="s">
        <v>73</v>
      </c>
      <c r="K80" s="7" t="str">
        <f aca="false">K20</f>
        <v>1</v>
      </c>
      <c r="L80" s="7" t="str">
        <f aca="false">L20</f>
        <v>-0</v>
      </c>
      <c r="M80" s="7" t="str">
        <f aca="false">M20</f>
        <v>0</v>
      </c>
      <c r="N80" s="7" t="str">
        <f aca="false">N20</f>
        <v>1</v>
      </c>
      <c r="O80" s="7" t="str">
        <f aca="false">IMSUM(IMPRODUCT(K80,O79),IMPRODUCT(L80,Q79))</f>
        <v>1</v>
      </c>
      <c r="P80" s="7" t="str">
        <f aca="false">IMSUM(IMPRODUCT(K80,P79),IMPRODUCT(L80,R79))</f>
        <v>-4.79620120292686</v>
      </c>
      <c r="Q80" s="7" t="str">
        <f aca="false">IMSUM(IMPRODUCT(M80,O79),IMPRODUCT(N80,Q79))</f>
        <v>-25.605798178061i</v>
      </c>
      <c r="R80" s="7" t="str">
        <f aca="false">IMSUM(IMPRODUCT(M80,P79),IMPRODUCT(N80,R79))</f>
        <v>1+122.810560023519i</v>
      </c>
    </row>
    <row r="81" customFormat="false" ht="15" hidden="false" customHeight="false" outlineLevel="0" collapsed="false">
      <c r="A81" s="7" t="s">
        <v>52</v>
      </c>
      <c r="B81" s="7" t="s">
        <v>73</v>
      </c>
      <c r="K81" s="7" t="str">
        <f aca="false">K21</f>
        <v>1</v>
      </c>
      <c r="L81" s="7" t="str">
        <f aca="false">L21</f>
        <v>-0.04</v>
      </c>
      <c r="M81" s="7" t="str">
        <f aca="false">M21</f>
        <v>0</v>
      </c>
      <c r="N81" s="7" t="str">
        <f aca="false">N21</f>
        <v>1</v>
      </c>
      <c r="O81" s="7" t="str">
        <f aca="false">IMSUM(IMPRODUCT(K81,O80),IMPRODUCT(L81,Q80))</f>
        <v>1+1.02423192712244i</v>
      </c>
      <c r="P81" s="7" t="str">
        <f aca="false">IMSUM(IMPRODUCT(K81,P80),IMPRODUCT(L81,R80))</f>
        <v>-4.83620120292686-4.91242240094076i</v>
      </c>
      <c r="Q81" s="7" t="str">
        <f aca="false">IMSUM(IMPRODUCT(M81,O80),IMPRODUCT(N81,Q80))</f>
        <v>-25.605798178061i</v>
      </c>
      <c r="R81" s="7" t="str">
        <f aca="false">IMSUM(IMPRODUCT(M81,P80),IMPRODUCT(N81,R80))</f>
        <v>1+122.810560023519i</v>
      </c>
    </row>
    <row r="82" customFormat="false" ht="15" hidden="false" customHeight="false" outlineLevel="0" collapsed="false">
      <c r="A82" s="9" t="s">
        <v>74</v>
      </c>
      <c r="B82" s="13" t="n">
        <f aca="false">IMABS(IMDIV(IMPRODUCT(O81,COMPLEX(-1,0)),P81))</f>
        <v>0.20765137415493</v>
      </c>
    </row>
    <row r="85" customFormat="false" ht="15" hidden="false" customHeight="false" outlineLevel="0" collapsed="false">
      <c r="A85" s="4" t="s">
        <v>183</v>
      </c>
    </row>
    <row r="86" customFormat="false" ht="15" hidden="false" customHeight="false" outlineLevel="0" collapsed="false">
      <c r="A86" s="9"/>
      <c r="B86" s="9" t="s">
        <v>62</v>
      </c>
      <c r="C86" s="9" t="s">
        <v>63</v>
      </c>
      <c r="D86" s="9"/>
      <c r="E86" s="9"/>
      <c r="F86" s="9"/>
      <c r="G86" s="9"/>
      <c r="H86" s="9"/>
      <c r="I86" s="9"/>
      <c r="J86" s="9"/>
      <c r="K86" s="9" t="s">
        <v>32</v>
      </c>
      <c r="L86" s="9" t="s">
        <v>33</v>
      </c>
      <c r="M86" s="9" t="s">
        <v>34</v>
      </c>
      <c r="N86" s="9" t="s">
        <v>35</v>
      </c>
      <c r="O86" s="9" t="s">
        <v>36</v>
      </c>
      <c r="P86" s="9" t="s">
        <v>37</v>
      </c>
      <c r="Q86" s="9" t="s">
        <v>38</v>
      </c>
      <c r="R86" s="9" t="s">
        <v>39</v>
      </c>
    </row>
    <row r="87" customFormat="false" ht="15" hidden="false" customHeight="false" outlineLevel="0" collapsed="false">
      <c r="A87" s="7" t="s">
        <v>22</v>
      </c>
      <c r="B87" s="7" t="s">
        <v>42</v>
      </c>
      <c r="C87" s="10" t="n">
        <f aca="false">$Y$9</f>
        <v>0.13</v>
      </c>
      <c r="K87" s="7" t="str">
        <f aca="false">COMPLEX(1,0)</f>
        <v>1</v>
      </c>
      <c r="L87" s="7" t="str">
        <f aca="false">COMPLEX(-C87,0)</f>
        <v>-0.13</v>
      </c>
      <c r="M87" s="7" t="str">
        <f aca="false">COMPLEX(0,0)</f>
        <v>0</v>
      </c>
      <c r="N87" s="7" t="str">
        <f aca="false">COMPLEX(1,0)</f>
        <v>1</v>
      </c>
      <c r="O87" s="7" t="str">
        <f aca="false">K87</f>
        <v>1</v>
      </c>
      <c r="P87" s="7" t="str">
        <f aca="false">L87</f>
        <v>-0.13</v>
      </c>
      <c r="Q87" s="7" t="str">
        <f aca="false">M87</f>
        <v>0</v>
      </c>
      <c r="R87" s="7" t="str">
        <f aca="false">N87</f>
        <v>1</v>
      </c>
    </row>
    <row r="88" customFormat="false" ht="15" hidden="false" customHeight="false" outlineLevel="0" collapsed="false">
      <c r="A88" s="7" t="s">
        <v>64</v>
      </c>
      <c r="B88" s="7" t="s">
        <v>65</v>
      </c>
      <c r="C88" s="10" t="n">
        <f aca="false">INDEX(Classes!$B$5:$F$9,MATCH("IE",Classes!$A$5:$A$9,0),5)*(N22*1000)</f>
        <v>176052.5</v>
      </c>
      <c r="K88" s="7" t="str">
        <f aca="false">COMPLEX(1,0)</f>
        <v>1</v>
      </c>
      <c r="L88" s="7" t="str">
        <f aca="false">COMPLEX(0,0)</f>
        <v>0</v>
      </c>
      <c r="M88" s="7" t="str">
        <f aca="false">COMPLEX(0,-(2*PI()/($B$5*3600))*C88)</f>
        <v>-12.8028990890305i</v>
      </c>
      <c r="N88" s="7" t="str">
        <f aca="false">COMPLEX(1,0)</f>
        <v>1</v>
      </c>
      <c r="O88" s="7" t="str">
        <f aca="false">IMSUM(IMPRODUCT(K88,O87),IMPRODUCT(L88,Q87))</f>
        <v>1</v>
      </c>
      <c r="P88" s="7" t="str">
        <f aca="false">IMSUM(IMPRODUCT(K88,P87),IMPRODUCT(L88,R87))</f>
        <v>-0.13</v>
      </c>
      <c r="Q88" s="7" t="str">
        <f aca="false">IMSUM(IMPRODUCT(M88,O87),IMPRODUCT(N88,Q87))</f>
        <v>-12.8028990890305i</v>
      </c>
      <c r="R88" s="7" t="str">
        <f aca="false">IMSUM(IMPRODUCT(M88,P87),IMPRODUCT(N88,R87))</f>
        <v>1+1.66437688157397i</v>
      </c>
    </row>
    <row r="89" customFormat="false" ht="15" hidden="false" customHeight="false" outlineLevel="0" collapsed="false">
      <c r="A89" s="7" t="s">
        <v>66</v>
      </c>
      <c r="B89" s="7" t="s">
        <v>42</v>
      </c>
      <c r="C89" s="10" t="n">
        <f aca="false">P22/6</f>
        <v>0.777700200487811</v>
      </c>
      <c r="K89" s="7" t="str">
        <f aca="false">COMPLEX(1,0)</f>
        <v>1</v>
      </c>
      <c r="L89" s="7" t="str">
        <f aca="false">COMPLEX(-C89,0)</f>
        <v>-0.777700200487811</v>
      </c>
      <c r="M89" s="7" t="str">
        <f aca="false">COMPLEX(0,0)</f>
        <v>0</v>
      </c>
      <c r="N89" s="7" t="str">
        <f aca="false">COMPLEX(1,0)</f>
        <v>1</v>
      </c>
      <c r="O89" s="7" t="str">
        <f aca="false">IMSUM(IMPRODUCT(K89,O88),IMPRODUCT(L89,Q88))</f>
        <v>1+9.95681718836423i</v>
      </c>
      <c r="P89" s="7" t="str">
        <f aca="false">IMSUM(IMPRODUCT(K89,P88),IMPRODUCT(L89,R88))</f>
        <v>-0.907700200487811-1.29438623448735i</v>
      </c>
      <c r="Q89" s="7" t="str">
        <f aca="false">IMSUM(IMPRODUCT(M89,O88),IMPRODUCT(N89,Q88))</f>
        <v>-12.8028990890305i</v>
      </c>
      <c r="R89" s="7" t="str">
        <f aca="false">IMSUM(IMPRODUCT(M89,P88),IMPRODUCT(N89,R88))</f>
        <v>1+1.66437688157397i</v>
      </c>
    </row>
    <row r="90" customFormat="false" ht="15" hidden="false" customHeight="false" outlineLevel="0" collapsed="false">
      <c r="A90" s="7" t="s">
        <v>67</v>
      </c>
      <c r="B90" s="7" t="s">
        <v>65</v>
      </c>
      <c r="C90" s="10" t="n">
        <f aca="false">INDEX(Classes!$B$5:$F$9,MATCH("IE",Classes!$A$5:$A$9,0),4)*(N22*1000)</f>
        <v>0</v>
      </c>
      <c r="K90" s="7" t="str">
        <f aca="false">COMPLEX(1,0)</f>
        <v>1</v>
      </c>
      <c r="L90" s="7" t="str">
        <f aca="false">COMPLEX(0,0)</f>
        <v>0</v>
      </c>
      <c r="M90" s="7" t="str">
        <f aca="false">COMPLEX(0,-(2*PI()/($B$5*3600))*C90)</f>
        <v>0</v>
      </c>
      <c r="N90" s="7" t="str">
        <f aca="false">COMPLEX(1,0)</f>
        <v>1</v>
      </c>
      <c r="O90" s="7" t="str">
        <f aca="false">IMSUM(IMPRODUCT(K90,O89),IMPRODUCT(L90,Q89))</f>
        <v>1+9.95681718836423i</v>
      </c>
      <c r="P90" s="7" t="str">
        <f aca="false">IMSUM(IMPRODUCT(K90,P89),IMPRODUCT(L90,R89))</f>
        <v>-0.907700200487811-1.29438623448735i</v>
      </c>
      <c r="Q90" s="7" t="str">
        <f aca="false">IMSUM(IMPRODUCT(M90,O89),IMPRODUCT(N90,Q89))</f>
        <v>-12.8028990890305i</v>
      </c>
      <c r="R90" s="7" t="str">
        <f aca="false">IMSUM(IMPRODUCT(M90,P89),IMPRODUCT(N90,R89))</f>
        <v>1+1.66437688157397i</v>
      </c>
    </row>
    <row r="91" customFormat="false" ht="15" hidden="false" customHeight="false" outlineLevel="0" collapsed="false">
      <c r="A91" s="7" t="s">
        <v>68</v>
      </c>
      <c r="B91" s="7" t="s">
        <v>42</v>
      </c>
      <c r="C91" s="10" t="n">
        <f aca="false">P22/3</f>
        <v>1.55540040097562</v>
      </c>
      <c r="K91" s="7" t="str">
        <f aca="false">COMPLEX(1,0)</f>
        <v>1</v>
      </c>
      <c r="L91" s="7" t="str">
        <f aca="false">COMPLEX(-C91,0)</f>
        <v>-1.55540040097562</v>
      </c>
      <c r="M91" s="7" t="str">
        <f aca="false">COMPLEX(0,0)</f>
        <v>0</v>
      </c>
      <c r="N91" s="7" t="str">
        <f aca="false">COMPLEX(1,0)</f>
        <v>1</v>
      </c>
      <c r="O91" s="7" t="str">
        <f aca="false">IMSUM(IMPRODUCT(K91,O90),IMPRODUCT(L91,Q90))</f>
        <v>1+29.8704515650926i</v>
      </c>
      <c r="P91" s="7" t="str">
        <f aca="false">IMSUM(IMPRODUCT(K91,P90),IMPRODUCT(L91,R90))</f>
        <v>-2.46310060146343-3.88315870346205i</v>
      </c>
      <c r="Q91" s="7" t="str">
        <f aca="false">IMSUM(IMPRODUCT(M91,O90),IMPRODUCT(N91,Q90))</f>
        <v>-12.8028990890305i</v>
      </c>
      <c r="R91" s="7" t="str">
        <f aca="false">IMSUM(IMPRODUCT(M91,P90),IMPRODUCT(N91,R90))</f>
        <v>1+1.66437688157397i</v>
      </c>
    </row>
    <row r="92" customFormat="false" ht="15" hidden="false" customHeight="false" outlineLevel="0" collapsed="false">
      <c r="A92" s="7" t="s">
        <v>69</v>
      </c>
      <c r="B92" s="7" t="s">
        <v>65</v>
      </c>
      <c r="C92" s="10" t="n">
        <f aca="false">INDEX(Classes!$B$5:$F$9,MATCH("IE",Classes!$A$5:$A$9,0),3)*(N22*1000)</f>
        <v>0</v>
      </c>
      <c r="K92" s="7" t="str">
        <f aca="false">COMPLEX(1,0)</f>
        <v>1</v>
      </c>
      <c r="L92" s="7" t="str">
        <f aca="false">COMPLEX(0,0)</f>
        <v>0</v>
      </c>
      <c r="M92" s="7" t="str">
        <f aca="false">COMPLEX(0,-(2*PI()/($B$5*3600))*C92)</f>
        <v>0</v>
      </c>
      <c r="N92" s="7" t="str">
        <f aca="false">COMPLEX(1,0)</f>
        <v>1</v>
      </c>
      <c r="O92" s="7" t="str">
        <f aca="false">IMSUM(IMPRODUCT(K92,O91),IMPRODUCT(L92,Q91))</f>
        <v>1+29.8704515650926i</v>
      </c>
      <c r="P92" s="7" t="str">
        <f aca="false">IMSUM(IMPRODUCT(K92,P91),IMPRODUCT(L92,R91))</f>
        <v>-2.46310060146343-3.88315870346205i</v>
      </c>
      <c r="Q92" s="7" t="str">
        <f aca="false">IMSUM(IMPRODUCT(M92,O91),IMPRODUCT(N92,Q91))</f>
        <v>-12.8028990890305i</v>
      </c>
      <c r="R92" s="7" t="str">
        <f aca="false">IMSUM(IMPRODUCT(M92,P91),IMPRODUCT(N92,R91))</f>
        <v>1+1.66437688157397i</v>
      </c>
    </row>
    <row r="93" customFormat="false" ht="15" hidden="false" customHeight="false" outlineLevel="0" collapsed="false">
      <c r="A93" s="7" t="s">
        <v>68</v>
      </c>
      <c r="B93" s="7" t="s">
        <v>42</v>
      </c>
      <c r="C93" s="10" t="n">
        <f aca="false">P22/3</f>
        <v>1.55540040097562</v>
      </c>
      <c r="K93" s="7" t="str">
        <f aca="false">COMPLEX(1,0)</f>
        <v>1</v>
      </c>
      <c r="L93" s="7" t="str">
        <f aca="false">COMPLEX(-C93,0)</f>
        <v>-1.55540040097562</v>
      </c>
      <c r="M93" s="7" t="str">
        <f aca="false">COMPLEX(0,0)</f>
        <v>0</v>
      </c>
      <c r="N93" s="7" t="str">
        <f aca="false">COMPLEX(1,0)</f>
        <v>1</v>
      </c>
      <c r="O93" s="7" t="str">
        <f aca="false">IMSUM(IMPRODUCT(K93,O92),IMPRODUCT(L93,Q92))</f>
        <v>1+49.784085941821i</v>
      </c>
      <c r="P93" s="7" t="str">
        <f aca="false">IMSUM(IMPRODUCT(K93,P92),IMPRODUCT(L93,R92))</f>
        <v>-4.01850100243905-6.47193117243675i</v>
      </c>
      <c r="Q93" s="7" t="str">
        <f aca="false">IMSUM(IMPRODUCT(M93,O92),IMPRODUCT(N93,Q92))</f>
        <v>-12.8028990890305i</v>
      </c>
      <c r="R93" s="7" t="str">
        <f aca="false">IMSUM(IMPRODUCT(M93,P92),IMPRODUCT(N93,R92))</f>
        <v>1+1.66437688157397i</v>
      </c>
    </row>
    <row r="94" customFormat="false" ht="15" hidden="false" customHeight="false" outlineLevel="0" collapsed="false">
      <c r="A94" s="7" t="s">
        <v>70</v>
      </c>
      <c r="B94" s="7" t="s">
        <v>65</v>
      </c>
      <c r="C94" s="10" t="n">
        <f aca="false">INDEX(Classes!$B$5:$F$9,MATCH("IE",Classes!$A$5:$A$9,0),2)*(N22*1000)</f>
        <v>0</v>
      </c>
      <c r="K94" s="7" t="str">
        <f aca="false">COMPLEX(1,0)</f>
        <v>1</v>
      </c>
      <c r="L94" s="7" t="str">
        <f aca="false">COMPLEX(0,0)</f>
        <v>0</v>
      </c>
      <c r="M94" s="7" t="str">
        <f aca="false">COMPLEX(0,-(2*PI()/($B$5*3600))*C94)</f>
        <v>0</v>
      </c>
      <c r="N94" s="7" t="str">
        <f aca="false">COMPLEX(1,0)</f>
        <v>1</v>
      </c>
      <c r="O94" s="7" t="str">
        <f aca="false">IMSUM(IMPRODUCT(K94,O93),IMPRODUCT(L94,Q93))</f>
        <v>1+49.784085941821i</v>
      </c>
      <c r="P94" s="7" t="str">
        <f aca="false">IMSUM(IMPRODUCT(K94,P93),IMPRODUCT(L94,R93))</f>
        <v>-4.01850100243905-6.47193117243675i</v>
      </c>
      <c r="Q94" s="7" t="str">
        <f aca="false">IMSUM(IMPRODUCT(M94,O93),IMPRODUCT(N94,Q93))</f>
        <v>-12.8028990890305i</v>
      </c>
      <c r="R94" s="7" t="str">
        <f aca="false">IMSUM(IMPRODUCT(M94,P93),IMPRODUCT(N94,R93))</f>
        <v>1+1.66437688157397i</v>
      </c>
    </row>
    <row r="95" customFormat="false" ht="15" hidden="false" customHeight="false" outlineLevel="0" collapsed="false">
      <c r="A95" s="7" t="s">
        <v>66</v>
      </c>
      <c r="B95" s="7" t="s">
        <v>42</v>
      </c>
      <c r="C95" s="10" t="n">
        <f aca="false">P22/6</f>
        <v>0.777700200487811</v>
      </c>
      <c r="K95" s="7" t="str">
        <f aca="false">COMPLEX(1,0)</f>
        <v>1</v>
      </c>
      <c r="L95" s="7" t="str">
        <f aca="false">COMPLEX(-C95,0)</f>
        <v>-0.777700200487811</v>
      </c>
      <c r="M95" s="7" t="str">
        <f aca="false">COMPLEX(0,0)</f>
        <v>0</v>
      </c>
      <c r="N95" s="7" t="str">
        <f aca="false">COMPLEX(1,0)</f>
        <v>1</v>
      </c>
      <c r="O95" s="7" t="str">
        <f aca="false">IMSUM(IMPRODUCT(K95,O94),IMPRODUCT(L95,Q94))</f>
        <v>1+59.7409031301852i</v>
      </c>
      <c r="P95" s="7" t="str">
        <f aca="false">IMSUM(IMPRODUCT(K95,P94),IMPRODUCT(L95,R94))</f>
        <v>-4.79620120292686-7.7663174069241i</v>
      </c>
      <c r="Q95" s="7" t="str">
        <f aca="false">IMSUM(IMPRODUCT(M95,O94),IMPRODUCT(N95,Q94))</f>
        <v>-12.8028990890305i</v>
      </c>
      <c r="R95" s="7" t="str">
        <f aca="false">IMSUM(IMPRODUCT(M95,P94),IMPRODUCT(N95,R94))</f>
        <v>1+1.66437688157397i</v>
      </c>
    </row>
    <row r="96" customFormat="false" ht="15" hidden="false" customHeight="false" outlineLevel="0" collapsed="false">
      <c r="A96" s="7" t="s">
        <v>71</v>
      </c>
      <c r="B96" s="7" t="s">
        <v>65</v>
      </c>
      <c r="C96" s="10" t="n">
        <f aca="false">INDEX(Classes!$B$5:$F$9,MATCH("IE",Classes!$A$5:$A$9,0),1)*(N22*1000)</f>
        <v>176052.5</v>
      </c>
      <c r="K96" s="7" t="str">
        <f aca="false">COMPLEX(1,0)</f>
        <v>1</v>
      </c>
      <c r="L96" s="7" t="str">
        <f aca="false">COMPLEX(0,0)</f>
        <v>0</v>
      </c>
      <c r="M96" s="7" t="str">
        <f aca="false">COMPLEX(0,-(2*PI()/($B$5*3600))*C96)</f>
        <v>-12.8028990890305i</v>
      </c>
      <c r="N96" s="7" t="str">
        <f aca="false">COMPLEX(1,0)</f>
        <v>1</v>
      </c>
      <c r="O96" s="7" t="str">
        <f aca="false">IMSUM(IMPRODUCT(K96,O95),IMPRODUCT(L96,Q95))</f>
        <v>1+59.7409031301852i</v>
      </c>
      <c r="P96" s="7" t="str">
        <f aca="false">IMSUM(IMPRODUCT(K96,P95),IMPRODUCT(L96,R95))</f>
        <v>-4.79620120292686-7.7663174069241i</v>
      </c>
      <c r="Q96" s="7" t="str">
        <f aca="false">IMSUM(IMPRODUCT(M96,O95),IMPRODUCT(N96,Q95))</f>
        <v>764.856754263307-25.605798178061i</v>
      </c>
      <c r="R96" s="7" t="str">
        <f aca="false">IMSUM(IMPRODUCT(M96,P95),IMPRODUCT(N96,R95))</f>
        <v>-98.4313780542303+63.0696568933333i</v>
      </c>
    </row>
    <row r="97" customFormat="false" ht="15" hidden="false" customHeight="false" outlineLevel="0" collapsed="false">
      <c r="A97" s="7" t="s">
        <v>72</v>
      </c>
      <c r="B97" s="7" t="s">
        <v>73</v>
      </c>
      <c r="K97" s="7" t="str">
        <f aca="false">K20</f>
        <v>1</v>
      </c>
      <c r="L97" s="7" t="str">
        <f aca="false">L20</f>
        <v>-0</v>
      </c>
      <c r="M97" s="7" t="str">
        <f aca="false">M20</f>
        <v>0</v>
      </c>
      <c r="N97" s="7" t="str">
        <f aca="false">N20</f>
        <v>1</v>
      </c>
      <c r="O97" s="7" t="str">
        <f aca="false">IMSUM(IMPRODUCT(K97,O96),IMPRODUCT(L97,Q96))</f>
        <v>1+59.7409031301852i</v>
      </c>
      <c r="P97" s="7" t="str">
        <f aca="false">IMSUM(IMPRODUCT(K97,P96),IMPRODUCT(L97,R96))</f>
        <v>-4.79620120292686-7.7663174069241i</v>
      </c>
      <c r="Q97" s="7" t="str">
        <f aca="false">IMSUM(IMPRODUCT(M97,O96),IMPRODUCT(N97,Q96))</f>
        <v>764.856754263307-25.605798178061i</v>
      </c>
      <c r="R97" s="7" t="str">
        <f aca="false">IMSUM(IMPRODUCT(M97,P96),IMPRODUCT(N97,R96))</f>
        <v>-98.4313780542303+63.0696568933333i</v>
      </c>
    </row>
    <row r="98" customFormat="false" ht="15" hidden="false" customHeight="false" outlineLevel="0" collapsed="false">
      <c r="A98" s="7" t="s">
        <v>52</v>
      </c>
      <c r="B98" s="7" t="s">
        <v>73</v>
      </c>
      <c r="K98" s="7" t="str">
        <f aca="false">K21</f>
        <v>1</v>
      </c>
      <c r="L98" s="7" t="str">
        <f aca="false">L21</f>
        <v>-0.04</v>
      </c>
      <c r="M98" s="7" t="str">
        <f aca="false">M21</f>
        <v>0</v>
      </c>
      <c r="N98" s="7" t="str">
        <f aca="false">N21</f>
        <v>1</v>
      </c>
      <c r="O98" s="7" t="str">
        <f aca="false">IMSUM(IMPRODUCT(K98,O97),IMPRODUCT(L98,Q97))</f>
        <v>-29.5942701705323+60.7651350573076i</v>
      </c>
      <c r="P98" s="7" t="str">
        <f aca="false">IMSUM(IMPRODUCT(K98,P97),IMPRODUCT(L98,R97))</f>
        <v>-0.85894608075765-10.2891036826574i</v>
      </c>
      <c r="Q98" s="7" t="str">
        <f aca="false">IMSUM(IMPRODUCT(M98,O97),IMPRODUCT(N98,Q97))</f>
        <v>764.856754263307-25.605798178061i</v>
      </c>
      <c r="R98" s="7" t="str">
        <f aca="false">IMSUM(IMPRODUCT(M98,P97),IMPRODUCT(N98,R97))</f>
        <v>-98.4313780542303+63.0696568933333i</v>
      </c>
    </row>
    <row r="99" customFormat="false" ht="15" hidden="false" customHeight="false" outlineLevel="0" collapsed="false">
      <c r="A99" s="9" t="s">
        <v>74</v>
      </c>
      <c r="B99" s="13" t="n">
        <f aca="false">IMABS(IMDIV(IMPRODUCT(O98,COMPLEX(-1,0)),P98))</f>
        <v>6.54618096559316</v>
      </c>
    </row>
    <row r="102" customFormat="false" ht="15" hidden="false" customHeight="false" outlineLevel="0" collapsed="false">
      <c r="A102" s="4" t="s">
        <v>184</v>
      </c>
    </row>
    <row r="103" customFormat="false" ht="15" hidden="false" customHeight="false" outlineLevel="0" collapsed="false">
      <c r="A103" s="9"/>
      <c r="B103" s="9" t="s">
        <v>62</v>
      </c>
      <c r="C103" s="9" t="s">
        <v>63</v>
      </c>
      <c r="D103" s="9"/>
      <c r="E103" s="9"/>
      <c r="F103" s="9"/>
      <c r="G103" s="9"/>
      <c r="H103" s="9"/>
      <c r="I103" s="9"/>
      <c r="J103" s="9"/>
      <c r="K103" s="9" t="s">
        <v>32</v>
      </c>
      <c r="L103" s="9" t="s">
        <v>33</v>
      </c>
      <c r="M103" s="9" t="s">
        <v>34</v>
      </c>
      <c r="N103" s="9" t="s">
        <v>35</v>
      </c>
      <c r="O103" s="9" t="s">
        <v>36</v>
      </c>
      <c r="P103" s="9" t="s">
        <v>37</v>
      </c>
      <c r="Q103" s="9" t="s">
        <v>38</v>
      </c>
      <c r="R103" s="9" t="s">
        <v>39</v>
      </c>
    </row>
    <row r="104" customFormat="false" ht="15" hidden="false" customHeight="false" outlineLevel="0" collapsed="false">
      <c r="A104" s="7" t="s">
        <v>22</v>
      </c>
      <c r="B104" s="7" t="s">
        <v>42</v>
      </c>
      <c r="C104" s="10" t="n">
        <f aca="false">$Y$9</f>
        <v>0.13</v>
      </c>
      <c r="K104" s="7" t="str">
        <f aca="false">COMPLEX(1,0)</f>
        <v>1</v>
      </c>
      <c r="L104" s="7" t="str">
        <f aca="false">COMPLEX(-C104,0)</f>
        <v>-0.13</v>
      </c>
      <c r="M104" s="7" t="str">
        <f aca="false">COMPLEX(0,0)</f>
        <v>0</v>
      </c>
      <c r="N104" s="7" t="str">
        <f aca="false">COMPLEX(1,0)</f>
        <v>1</v>
      </c>
      <c r="O104" s="7" t="str">
        <f aca="false">K104</f>
        <v>1</v>
      </c>
      <c r="P104" s="7" t="str">
        <f aca="false">L104</f>
        <v>-0.13</v>
      </c>
      <c r="Q104" s="7" t="str">
        <f aca="false">M104</f>
        <v>0</v>
      </c>
      <c r="R104" s="7" t="str">
        <f aca="false">N104</f>
        <v>1</v>
      </c>
    </row>
    <row r="105" customFormat="false" ht="15" hidden="false" customHeight="false" outlineLevel="0" collapsed="false">
      <c r="A105" s="7" t="s">
        <v>64</v>
      </c>
      <c r="B105" s="7" t="s">
        <v>65</v>
      </c>
      <c r="C105" s="10" t="n">
        <f aca="false">INDEX(Classes!$B$5:$F$9,MATCH("D",Classes!$A$5:$A$9,0),5)*(N22*1000)</f>
        <v>44013.125</v>
      </c>
      <c r="K105" s="7" t="str">
        <f aca="false">COMPLEX(1,0)</f>
        <v>1</v>
      </c>
      <c r="L105" s="7" t="str">
        <f aca="false">COMPLEX(0,0)</f>
        <v>0</v>
      </c>
      <c r="M105" s="7" t="str">
        <f aca="false">COMPLEX(0,-(2*PI()/($B$5*3600))*C105)</f>
        <v>-3.20072477225762i</v>
      </c>
      <c r="N105" s="7" t="str">
        <f aca="false">COMPLEX(1,0)</f>
        <v>1</v>
      </c>
      <c r="O105" s="7" t="str">
        <f aca="false">IMSUM(IMPRODUCT(K105,O104),IMPRODUCT(L105,Q104))</f>
        <v>1</v>
      </c>
      <c r="P105" s="7" t="str">
        <f aca="false">IMSUM(IMPRODUCT(K105,P104),IMPRODUCT(L105,R104))</f>
        <v>-0.13</v>
      </c>
      <c r="Q105" s="7" t="str">
        <f aca="false">IMSUM(IMPRODUCT(M105,O104),IMPRODUCT(N105,Q104))</f>
        <v>-3.20072477225762i</v>
      </c>
      <c r="R105" s="7" t="str">
        <f aca="false">IMSUM(IMPRODUCT(M105,P104),IMPRODUCT(N105,R104))</f>
        <v>1+0.416094220393491i</v>
      </c>
    </row>
    <row r="106" customFormat="false" ht="15" hidden="false" customHeight="false" outlineLevel="0" collapsed="false">
      <c r="A106" s="7" t="s">
        <v>66</v>
      </c>
      <c r="B106" s="7" t="s">
        <v>42</v>
      </c>
      <c r="C106" s="10" t="n">
        <f aca="false">P22/6</f>
        <v>0.777700200487811</v>
      </c>
      <c r="K106" s="7" t="str">
        <f aca="false">COMPLEX(1,0)</f>
        <v>1</v>
      </c>
      <c r="L106" s="7" t="str">
        <f aca="false">COMPLEX(-C106,0)</f>
        <v>-0.777700200487811</v>
      </c>
      <c r="M106" s="7" t="str">
        <f aca="false">COMPLEX(0,0)</f>
        <v>0</v>
      </c>
      <c r="N106" s="7" t="str">
        <f aca="false">COMPLEX(1,0)</f>
        <v>1</v>
      </c>
      <c r="O106" s="7" t="str">
        <f aca="false">IMSUM(IMPRODUCT(K106,O105),IMPRODUCT(L106,Q105))</f>
        <v>1+2.48920429709105i</v>
      </c>
      <c r="P106" s="7" t="str">
        <f aca="false">IMSUM(IMPRODUCT(K106,P105),IMPRODUCT(L106,R105))</f>
        <v>-0.907700200487811-0.323596558621837i</v>
      </c>
      <c r="Q106" s="7" t="str">
        <f aca="false">IMSUM(IMPRODUCT(M106,O105),IMPRODUCT(N106,Q105))</f>
        <v>-3.20072477225762i</v>
      </c>
      <c r="R106" s="7" t="str">
        <f aca="false">IMSUM(IMPRODUCT(M106,P105),IMPRODUCT(N106,R105))</f>
        <v>1+0.416094220393491i</v>
      </c>
    </row>
    <row r="107" customFormat="false" ht="15" hidden="false" customHeight="false" outlineLevel="0" collapsed="false">
      <c r="A107" s="7" t="s">
        <v>67</v>
      </c>
      <c r="B107" s="7" t="s">
        <v>65</v>
      </c>
      <c r="C107" s="10" t="n">
        <f aca="false">INDEX(Classes!$B$5:$F$9,MATCH("D",Classes!$A$5:$A$9,0),4)*(N22*1000)</f>
        <v>88026.25</v>
      </c>
      <c r="K107" s="7" t="str">
        <f aca="false">COMPLEX(1,0)</f>
        <v>1</v>
      </c>
      <c r="L107" s="7" t="str">
        <f aca="false">COMPLEX(0,0)</f>
        <v>0</v>
      </c>
      <c r="M107" s="7" t="str">
        <f aca="false">COMPLEX(0,-(2*PI()/($B$5*3600))*C107)</f>
        <v>-6.40144954451524i</v>
      </c>
      <c r="N107" s="7" t="str">
        <f aca="false">COMPLEX(1,0)</f>
        <v>1</v>
      </c>
      <c r="O107" s="7" t="str">
        <f aca="false">IMSUM(IMPRODUCT(K107,O106),IMPRODUCT(L107,Q106))</f>
        <v>1+2.48920429709105i</v>
      </c>
      <c r="P107" s="7" t="str">
        <f aca="false">IMSUM(IMPRODUCT(K107,P106),IMPRODUCT(L107,R106))</f>
        <v>-0.907700200487811-0.323596558621837i</v>
      </c>
      <c r="Q107" s="7" t="str">
        <f aca="false">IMSUM(IMPRODUCT(M107,O106),IMPRODUCT(N107,Q106))</f>
        <v>15.9345157138189-9.60217431677286i</v>
      </c>
      <c r="R107" s="7" t="str">
        <f aca="false">IMSUM(IMPRODUCT(M107,P106),IMPRODUCT(N107,R106))</f>
        <v>-1.07148704279646+6.22669125536258i</v>
      </c>
    </row>
    <row r="108" customFormat="false" ht="15" hidden="false" customHeight="false" outlineLevel="0" collapsed="false">
      <c r="A108" s="7" t="s">
        <v>68</v>
      </c>
      <c r="B108" s="7" t="s">
        <v>42</v>
      </c>
      <c r="C108" s="10" t="n">
        <f aca="false">P22/3</f>
        <v>1.55540040097562</v>
      </c>
      <c r="K108" s="7" t="str">
        <f aca="false">COMPLEX(1,0)</f>
        <v>1</v>
      </c>
      <c r="L108" s="7" t="str">
        <f aca="false">COMPLEX(-C108,0)</f>
        <v>-1.55540040097562</v>
      </c>
      <c r="M108" s="7" t="str">
        <f aca="false">COMPLEX(0,0)</f>
        <v>0</v>
      </c>
      <c r="N108" s="7" t="str">
        <f aca="false">COMPLEX(1,0)</f>
        <v>1</v>
      </c>
      <c r="O108" s="7" t="str">
        <f aca="false">IMSUM(IMPRODUCT(K108,O107),IMPRODUCT(L108,Q107))</f>
        <v>-23.7845521306262+17.4244300796374i</v>
      </c>
      <c r="P108" s="7" t="str">
        <f aca="false">IMSUM(IMPRODUCT(K108,P107),IMPRODUCT(L108,R107))</f>
        <v>0.758891175517989-10.0085946339642i</v>
      </c>
      <c r="Q108" s="7" t="str">
        <f aca="false">IMSUM(IMPRODUCT(M108,O107),IMPRODUCT(N108,Q107))</f>
        <v>15.9345157138189-9.60217431677286i</v>
      </c>
      <c r="R108" s="7" t="str">
        <f aca="false">IMSUM(IMPRODUCT(M108,P107),IMPRODUCT(N108,R107))</f>
        <v>-1.07148704279646+6.22669125536258i</v>
      </c>
    </row>
    <row r="109" customFormat="false" ht="15" hidden="false" customHeight="false" outlineLevel="0" collapsed="false">
      <c r="A109" s="7" t="s">
        <v>69</v>
      </c>
      <c r="B109" s="7" t="s">
        <v>65</v>
      </c>
      <c r="C109" s="10" t="n">
        <f aca="false">INDEX(Classes!$B$5:$F$9,MATCH("D",Classes!$A$5:$A$9,0),3)*(N22*1000)</f>
        <v>88026.25</v>
      </c>
      <c r="K109" s="7" t="str">
        <f aca="false">COMPLEX(1,0)</f>
        <v>1</v>
      </c>
      <c r="L109" s="7" t="str">
        <f aca="false">COMPLEX(0,0)</f>
        <v>0</v>
      </c>
      <c r="M109" s="7" t="str">
        <f aca="false">COMPLEX(0,-(2*PI()/($B$5*3600))*C109)</f>
        <v>-6.40144954451524i</v>
      </c>
      <c r="N109" s="7" t="str">
        <f aca="false">COMPLEX(1,0)</f>
        <v>1</v>
      </c>
      <c r="O109" s="7" t="str">
        <f aca="false">IMSUM(IMPRODUCT(K109,O108),IMPRODUCT(L109,Q108))</f>
        <v>-23.7845521306262+17.4244300796374i</v>
      </c>
      <c r="P109" s="7" t="str">
        <f aca="false">IMSUM(IMPRODUCT(K109,P108),IMPRODUCT(L109,R108))</f>
        <v>0.758891175517989-10.0085946339642i</v>
      </c>
      <c r="Q109" s="7" t="str">
        <f aca="false">IMSUM(IMPRODUCT(M109,O108),IMPRODUCT(N109,Q108))</f>
        <v>127.476125710551+142.653436086323i</v>
      </c>
      <c r="R109" s="7" t="str">
        <f aca="false">IMSUM(IMPRODUCT(M109,P108),IMPRODUCT(N109,R108))</f>
        <v>-65.1410006036243+1.36868768550631i</v>
      </c>
    </row>
    <row r="110" customFormat="false" ht="15" hidden="false" customHeight="false" outlineLevel="0" collapsed="false">
      <c r="A110" s="7" t="s">
        <v>68</v>
      </c>
      <c r="B110" s="7" t="s">
        <v>42</v>
      </c>
      <c r="C110" s="10" t="n">
        <f aca="false">P22/3</f>
        <v>1.55540040097562</v>
      </c>
      <c r="K110" s="7" t="str">
        <f aca="false">COMPLEX(1,0)</f>
        <v>1</v>
      </c>
      <c r="L110" s="7" t="str">
        <f aca="false">COMPLEX(-C110,0)</f>
        <v>-1.55540040097562</v>
      </c>
      <c r="M110" s="7" t="str">
        <f aca="false">COMPLEX(0,0)</f>
        <v>0</v>
      </c>
      <c r="N110" s="7" t="str">
        <f aca="false">COMPLEX(1,0)</f>
        <v>1</v>
      </c>
      <c r="O110" s="7" t="str">
        <f aca="false">IMSUM(IMPRODUCT(K110,O109),IMPRODUCT(L110,Q109))</f>
        <v>-222.060969175636-204.45878160958i</v>
      </c>
      <c r="P110" s="7" t="str">
        <f aca="false">IMSUM(IMPRODUCT(K110,P109),IMPRODUCT(L110,R109))</f>
        <v>102.079229634348-12.1374520088111i</v>
      </c>
      <c r="Q110" s="7" t="str">
        <f aca="false">IMSUM(IMPRODUCT(M110,O109),IMPRODUCT(N110,Q109))</f>
        <v>127.476125710551+142.653436086323i</v>
      </c>
      <c r="R110" s="7" t="str">
        <f aca="false">IMSUM(IMPRODUCT(M110,P109),IMPRODUCT(N110,R109))</f>
        <v>-65.1410006036243+1.36868768550631i</v>
      </c>
    </row>
    <row r="111" customFormat="false" ht="15" hidden="false" customHeight="false" outlineLevel="0" collapsed="false">
      <c r="A111" s="7" t="s">
        <v>70</v>
      </c>
      <c r="B111" s="7" t="s">
        <v>65</v>
      </c>
      <c r="C111" s="10" t="n">
        <f aca="false">INDEX(Classes!$B$5:$F$9,MATCH("D",Classes!$A$5:$A$9,0),2)*(N22*1000)</f>
        <v>88026.25</v>
      </c>
      <c r="K111" s="7" t="str">
        <f aca="false">COMPLEX(1,0)</f>
        <v>1</v>
      </c>
      <c r="L111" s="7" t="str">
        <f aca="false">COMPLEX(0,0)</f>
        <v>0</v>
      </c>
      <c r="M111" s="7" t="str">
        <f aca="false">COMPLEX(0,-(2*PI()/($B$5*3600))*C111)</f>
        <v>-6.40144954451524i</v>
      </c>
      <c r="N111" s="7" t="str">
        <f aca="false">COMPLEX(1,0)</f>
        <v>1</v>
      </c>
      <c r="O111" s="7" t="str">
        <f aca="false">IMSUM(IMPRODUCT(K111,O110),IMPRODUCT(L111,Q110))</f>
        <v>-222.060969175636-204.45878160958i</v>
      </c>
      <c r="P111" s="7" t="str">
        <f aca="false">IMSUM(IMPRODUCT(K111,P110),IMPRODUCT(L111,R110))</f>
        <v>102.079229634348-12.1374520088111i</v>
      </c>
      <c r="Q111" s="7" t="str">
        <f aca="false">IMSUM(IMPRODUCT(M111,O110),IMPRODUCT(N111,Q110))</f>
        <v>-1181.35644869624+1564.16552607031i</v>
      </c>
      <c r="R111" s="7" t="str">
        <f aca="false">IMSUM(IMPRODUCT(M111,P110),IMPRODUCT(N111,R110))</f>
        <v>-142.838287237004-652.086350361758i</v>
      </c>
    </row>
    <row r="112" customFormat="false" ht="15" hidden="false" customHeight="false" outlineLevel="0" collapsed="false">
      <c r="A112" s="7" t="s">
        <v>66</v>
      </c>
      <c r="B112" s="7" t="s">
        <v>42</v>
      </c>
      <c r="C112" s="10" t="n">
        <f aca="false">P22/6</f>
        <v>0.777700200487811</v>
      </c>
      <c r="K112" s="7" t="str">
        <f aca="false">COMPLEX(1,0)</f>
        <v>1</v>
      </c>
      <c r="L112" s="7" t="str">
        <f aca="false">COMPLEX(-C112,0)</f>
        <v>-0.777700200487811</v>
      </c>
      <c r="M112" s="7" t="str">
        <f aca="false">COMPLEX(0,0)</f>
        <v>0</v>
      </c>
      <c r="N112" s="7" t="str">
        <f aca="false">COMPLEX(1,0)</f>
        <v>1</v>
      </c>
      <c r="O112" s="7" t="str">
        <f aca="false">IMSUM(IMPRODUCT(K112,O111),IMPRODUCT(L112,Q111))</f>
        <v>696.680177822998-1420.91062483058i</v>
      </c>
      <c r="P112" s="7" t="str">
        <f aca="false">IMSUM(IMPRODUCT(K112,P111),IMPRODUCT(L112,R111))</f>
        <v>213.164594255902+494.990233402893i</v>
      </c>
      <c r="Q112" s="7" t="str">
        <f aca="false">IMSUM(IMPRODUCT(M112,O111),IMPRODUCT(N112,Q111))</f>
        <v>-1181.35644869624+1564.16552607031i</v>
      </c>
      <c r="R112" s="7" t="str">
        <f aca="false">IMSUM(IMPRODUCT(M112,P111),IMPRODUCT(N112,R111))</f>
        <v>-142.838287237004-652.086350361758i</v>
      </c>
    </row>
    <row r="113" customFormat="false" ht="15" hidden="false" customHeight="false" outlineLevel="0" collapsed="false">
      <c r="A113" s="7" t="s">
        <v>71</v>
      </c>
      <c r="B113" s="7" t="s">
        <v>65</v>
      </c>
      <c r="C113" s="10" t="n">
        <f aca="false">INDEX(Classes!$B$5:$F$9,MATCH("D",Classes!$A$5:$A$9,0),1)*(N22*1000)</f>
        <v>44013.125</v>
      </c>
      <c r="K113" s="7" t="str">
        <f aca="false">COMPLEX(1,0)</f>
        <v>1</v>
      </c>
      <c r="L113" s="7" t="str">
        <f aca="false">COMPLEX(0,0)</f>
        <v>0</v>
      </c>
      <c r="M113" s="7" t="str">
        <f aca="false">COMPLEX(0,-(2*PI()/($B$5*3600))*C113)</f>
        <v>-3.20072477225762i</v>
      </c>
      <c r="N113" s="7" t="str">
        <f aca="false">COMPLEX(1,0)</f>
        <v>1</v>
      </c>
      <c r="O113" s="7" t="str">
        <f aca="false">IMSUM(IMPRODUCT(K113,O112),IMPRODUCT(L113,Q112))</f>
        <v>696.680177822998-1420.91062483058i</v>
      </c>
      <c r="P113" s="7" t="str">
        <f aca="false">IMSUM(IMPRODUCT(K113,P112),IMPRODUCT(L113,R112))</f>
        <v>213.164594255902+494.990233402893i</v>
      </c>
      <c r="Q113" s="7" t="str">
        <f aca="false">IMSUM(IMPRODUCT(M113,O112),IMPRODUCT(N113,Q112))</f>
        <v>-5729.30028475553-665.7159774286i</v>
      </c>
      <c r="R113" s="7" t="str">
        <f aca="false">IMSUM(IMPRODUCT(M113,P112),IMPRODUCT(N113,R112))</f>
        <v>1441.48921484122-1334.36754776487i</v>
      </c>
    </row>
    <row r="114" customFormat="false" ht="15" hidden="false" customHeight="false" outlineLevel="0" collapsed="false">
      <c r="A114" s="7" t="s">
        <v>72</v>
      </c>
      <c r="B114" s="7" t="s">
        <v>73</v>
      </c>
      <c r="K114" s="7" t="str">
        <f aca="false">K20</f>
        <v>1</v>
      </c>
      <c r="L114" s="7" t="str">
        <f aca="false">L20</f>
        <v>-0</v>
      </c>
      <c r="M114" s="7" t="str">
        <f aca="false">M20</f>
        <v>0</v>
      </c>
      <c r="N114" s="7" t="str">
        <f aca="false">N20</f>
        <v>1</v>
      </c>
      <c r="O114" s="7" t="str">
        <f aca="false">IMSUM(IMPRODUCT(K114,O113),IMPRODUCT(L114,Q113))</f>
        <v>696.680177822998-1420.91062483058i</v>
      </c>
      <c r="P114" s="7" t="str">
        <f aca="false">IMSUM(IMPRODUCT(K114,P113),IMPRODUCT(L114,R113))</f>
        <v>213.164594255902+494.990233402893i</v>
      </c>
      <c r="Q114" s="7" t="str">
        <f aca="false">IMSUM(IMPRODUCT(M114,O113),IMPRODUCT(N114,Q113))</f>
        <v>-5729.30028475553-665.7159774286i</v>
      </c>
      <c r="R114" s="7" t="str">
        <f aca="false">IMSUM(IMPRODUCT(M114,P113),IMPRODUCT(N114,R113))</f>
        <v>1441.48921484122-1334.36754776487i</v>
      </c>
    </row>
    <row r="115" customFormat="false" ht="15" hidden="false" customHeight="false" outlineLevel="0" collapsed="false">
      <c r="A115" s="7" t="s">
        <v>52</v>
      </c>
      <c r="B115" s="7" t="s">
        <v>73</v>
      </c>
      <c r="K115" s="7" t="str">
        <f aca="false">K21</f>
        <v>1</v>
      </c>
      <c r="L115" s="7" t="str">
        <f aca="false">L21</f>
        <v>-0.04</v>
      </c>
      <c r="M115" s="7" t="str">
        <f aca="false">M21</f>
        <v>0</v>
      </c>
      <c r="N115" s="7" t="str">
        <f aca="false">N21</f>
        <v>1</v>
      </c>
      <c r="O115" s="7" t="str">
        <f aca="false">IMSUM(IMPRODUCT(K115,O114),IMPRODUCT(L115,Q114))</f>
        <v>925.852189213219-1394.28198573344i</v>
      </c>
      <c r="P115" s="7" t="str">
        <f aca="false">IMSUM(IMPRODUCT(K115,P114),IMPRODUCT(L115,R114))</f>
        <v>155.505025662253+548.364935313488i</v>
      </c>
      <c r="Q115" s="7" t="str">
        <f aca="false">IMSUM(IMPRODUCT(M115,O114),IMPRODUCT(N115,Q114))</f>
        <v>-5729.30028475553-665.7159774286i</v>
      </c>
      <c r="R115" s="7" t="str">
        <f aca="false">IMSUM(IMPRODUCT(M115,P114),IMPRODUCT(N115,R114))</f>
        <v>1441.48921484122-1334.36754776487i</v>
      </c>
    </row>
    <row r="116" customFormat="false" ht="15" hidden="false" customHeight="false" outlineLevel="0" collapsed="false">
      <c r="A116" s="9" t="s">
        <v>74</v>
      </c>
      <c r="B116" s="13" t="n">
        <f aca="false">IMABS(IMDIV(IMPRODUCT(O115,COMPLEX(-1,0)),P115))</f>
        <v>2.93635472119842</v>
      </c>
    </row>
    <row r="119" customFormat="false" ht="15" hidden="false" customHeight="false" outlineLevel="0" collapsed="false">
      <c r="A119" s="4" t="s">
        <v>185</v>
      </c>
    </row>
    <row r="120" customFormat="false" ht="15" hidden="false" customHeight="false" outlineLevel="0" collapsed="false">
      <c r="A120" s="9"/>
      <c r="B120" s="9" t="s">
        <v>62</v>
      </c>
      <c r="C120" s="9" t="s">
        <v>63</v>
      </c>
      <c r="D120" s="9"/>
      <c r="E120" s="9"/>
      <c r="F120" s="9"/>
      <c r="G120" s="9"/>
      <c r="H120" s="9"/>
      <c r="I120" s="9"/>
      <c r="J120" s="9"/>
      <c r="K120" s="9" t="s">
        <v>32</v>
      </c>
      <c r="L120" s="9" t="s">
        <v>33</v>
      </c>
      <c r="M120" s="9" t="s">
        <v>34</v>
      </c>
      <c r="N120" s="9" t="s">
        <v>35</v>
      </c>
      <c r="O120" s="9" t="s">
        <v>36</v>
      </c>
      <c r="P120" s="9" t="s">
        <v>37</v>
      </c>
      <c r="Q120" s="9" t="s">
        <v>38</v>
      </c>
      <c r="R120" s="9" t="s">
        <v>39</v>
      </c>
    </row>
    <row r="121" customFormat="false" ht="15" hidden="false" customHeight="false" outlineLevel="0" collapsed="false">
      <c r="A121" s="7" t="s">
        <v>22</v>
      </c>
      <c r="B121" s="7" t="s">
        <v>42</v>
      </c>
      <c r="C121" s="10" t="n">
        <f aca="false">$Y$9</f>
        <v>0.13</v>
      </c>
      <c r="K121" s="7" t="str">
        <f aca="false">COMPLEX(1,0)</f>
        <v>1</v>
      </c>
      <c r="L121" s="7" t="str">
        <f aca="false">COMPLEX(-C121,0)</f>
        <v>-0.13</v>
      </c>
      <c r="M121" s="7" t="str">
        <f aca="false">COMPLEX(0,0)</f>
        <v>0</v>
      </c>
      <c r="N121" s="7" t="str">
        <f aca="false">COMPLEX(1,0)</f>
        <v>1</v>
      </c>
      <c r="O121" s="7" t="str">
        <f aca="false">K121</f>
        <v>1</v>
      </c>
      <c r="P121" s="7" t="str">
        <f aca="false">L121</f>
        <v>-0.13</v>
      </c>
      <c r="Q121" s="7" t="str">
        <f aca="false">M121</f>
        <v>0</v>
      </c>
      <c r="R121" s="7" t="str">
        <f aca="false">N121</f>
        <v>1</v>
      </c>
    </row>
    <row r="122" customFormat="false" ht="15" hidden="false" customHeight="false" outlineLevel="0" collapsed="false">
      <c r="A122" s="7" t="s">
        <v>64</v>
      </c>
      <c r="B122" s="7" t="s">
        <v>65</v>
      </c>
      <c r="C122" s="10" t="n">
        <f aca="false">INDEX(Classes!$B$5:$F$9,MATCH("M",Classes!$A$5:$A$9,0),5)*(N22*1000)</f>
        <v>0</v>
      </c>
      <c r="K122" s="7" t="str">
        <f aca="false">COMPLEX(1,0)</f>
        <v>1</v>
      </c>
      <c r="L122" s="7" t="str">
        <f aca="false">COMPLEX(0,0)</f>
        <v>0</v>
      </c>
      <c r="M122" s="7" t="str">
        <f aca="false">COMPLEX(0,-(2*PI()/($B$5*3600))*C122)</f>
        <v>0</v>
      </c>
      <c r="N122" s="7" t="str">
        <f aca="false">COMPLEX(1,0)</f>
        <v>1</v>
      </c>
      <c r="O122" s="7" t="str">
        <f aca="false">IMSUM(IMPRODUCT(K122,O121),IMPRODUCT(L122,Q121))</f>
        <v>1</v>
      </c>
      <c r="P122" s="7" t="str">
        <f aca="false">IMSUM(IMPRODUCT(K122,P121),IMPRODUCT(L122,R121))</f>
        <v>-0.13</v>
      </c>
      <c r="Q122" s="7" t="str">
        <f aca="false">IMSUM(IMPRODUCT(M122,O121),IMPRODUCT(N122,Q121))</f>
        <v>0</v>
      </c>
      <c r="R122" s="7" t="str">
        <f aca="false">IMSUM(IMPRODUCT(M122,P121),IMPRODUCT(N122,R121))</f>
        <v>1</v>
      </c>
    </row>
    <row r="123" customFormat="false" ht="15" hidden="false" customHeight="false" outlineLevel="0" collapsed="false">
      <c r="A123" s="7" t="s">
        <v>66</v>
      </c>
      <c r="B123" s="7" t="s">
        <v>42</v>
      </c>
      <c r="C123" s="10" t="n">
        <f aca="false">P22/6</f>
        <v>0.777700200487811</v>
      </c>
      <c r="K123" s="7" t="str">
        <f aca="false">COMPLEX(1,0)</f>
        <v>1</v>
      </c>
      <c r="L123" s="7" t="str">
        <f aca="false">COMPLEX(-C123,0)</f>
        <v>-0.777700200487811</v>
      </c>
      <c r="M123" s="7" t="str">
        <f aca="false">COMPLEX(0,0)</f>
        <v>0</v>
      </c>
      <c r="N123" s="7" t="str">
        <f aca="false">COMPLEX(1,0)</f>
        <v>1</v>
      </c>
      <c r="O123" s="7" t="str">
        <f aca="false">IMSUM(IMPRODUCT(K123,O122),IMPRODUCT(L123,Q122))</f>
        <v>1</v>
      </c>
      <c r="P123" s="7" t="str">
        <f aca="false">IMSUM(IMPRODUCT(K123,P122),IMPRODUCT(L123,R122))</f>
        <v>-0.907700200487811</v>
      </c>
      <c r="Q123" s="7" t="str">
        <f aca="false">IMSUM(IMPRODUCT(M123,O122),IMPRODUCT(N123,Q122))</f>
        <v>0</v>
      </c>
      <c r="R123" s="7" t="str">
        <f aca="false">IMSUM(IMPRODUCT(M123,P122),IMPRODUCT(N123,R122))</f>
        <v>1</v>
      </c>
    </row>
    <row r="124" customFormat="false" ht="15" hidden="false" customHeight="false" outlineLevel="0" collapsed="false">
      <c r="A124" s="7" t="s">
        <v>67</v>
      </c>
      <c r="B124" s="7" t="s">
        <v>65</v>
      </c>
      <c r="C124" s="10" t="n">
        <f aca="false">INDEX(Classes!$B$5:$F$9,MATCH("M",Classes!$A$5:$A$9,0),4)*(N22*1000)</f>
        <v>0</v>
      </c>
      <c r="K124" s="7" t="str">
        <f aca="false">COMPLEX(1,0)</f>
        <v>1</v>
      </c>
      <c r="L124" s="7" t="str">
        <f aca="false">COMPLEX(0,0)</f>
        <v>0</v>
      </c>
      <c r="M124" s="7" t="str">
        <f aca="false">COMPLEX(0,-(2*PI()/($B$5*3600))*C124)</f>
        <v>0</v>
      </c>
      <c r="N124" s="7" t="str">
        <f aca="false">COMPLEX(1,0)</f>
        <v>1</v>
      </c>
      <c r="O124" s="7" t="str">
        <f aca="false">IMSUM(IMPRODUCT(K124,O123),IMPRODUCT(L124,Q123))</f>
        <v>1</v>
      </c>
      <c r="P124" s="7" t="str">
        <f aca="false">IMSUM(IMPRODUCT(K124,P123),IMPRODUCT(L124,R123))</f>
        <v>-0.907700200487811</v>
      </c>
      <c r="Q124" s="7" t="str">
        <f aca="false">IMSUM(IMPRODUCT(M124,O123),IMPRODUCT(N124,Q123))</f>
        <v>0</v>
      </c>
      <c r="R124" s="7" t="str">
        <f aca="false">IMSUM(IMPRODUCT(M124,P123),IMPRODUCT(N124,R123))</f>
        <v>1</v>
      </c>
    </row>
    <row r="125" customFormat="false" ht="15" hidden="false" customHeight="false" outlineLevel="0" collapsed="false">
      <c r="A125" s="7" t="s">
        <v>68</v>
      </c>
      <c r="B125" s="7" t="s">
        <v>42</v>
      </c>
      <c r="C125" s="10" t="n">
        <f aca="false">P22/3</f>
        <v>1.55540040097562</v>
      </c>
      <c r="K125" s="7" t="str">
        <f aca="false">COMPLEX(1,0)</f>
        <v>1</v>
      </c>
      <c r="L125" s="7" t="str">
        <f aca="false">COMPLEX(-C125,0)</f>
        <v>-1.55540040097562</v>
      </c>
      <c r="M125" s="7" t="str">
        <f aca="false">COMPLEX(0,0)</f>
        <v>0</v>
      </c>
      <c r="N125" s="7" t="str">
        <f aca="false">COMPLEX(1,0)</f>
        <v>1</v>
      </c>
      <c r="O125" s="7" t="str">
        <f aca="false">IMSUM(IMPRODUCT(K125,O124),IMPRODUCT(L125,Q124))</f>
        <v>1</v>
      </c>
      <c r="P125" s="7" t="str">
        <f aca="false">IMSUM(IMPRODUCT(K125,P124),IMPRODUCT(L125,R124))</f>
        <v>-2.46310060146343</v>
      </c>
      <c r="Q125" s="7" t="str">
        <f aca="false">IMSUM(IMPRODUCT(M125,O124),IMPRODUCT(N125,Q124))</f>
        <v>0</v>
      </c>
      <c r="R125" s="7" t="str">
        <f aca="false">IMSUM(IMPRODUCT(M125,P124),IMPRODUCT(N125,R124))</f>
        <v>1</v>
      </c>
    </row>
    <row r="126" customFormat="false" ht="15" hidden="false" customHeight="false" outlineLevel="0" collapsed="false">
      <c r="A126" s="7" t="s">
        <v>69</v>
      </c>
      <c r="B126" s="7" t="s">
        <v>65</v>
      </c>
      <c r="C126" s="10" t="n">
        <f aca="false">INDEX(Classes!$B$5:$F$9,MATCH("M",Classes!$A$5:$A$9,0),3)*(N22*1000)</f>
        <v>352105</v>
      </c>
      <c r="K126" s="7" t="str">
        <f aca="false">COMPLEX(1,0)</f>
        <v>1</v>
      </c>
      <c r="L126" s="7" t="str">
        <f aca="false">COMPLEX(0,0)</f>
        <v>0</v>
      </c>
      <c r="M126" s="7" t="str">
        <f aca="false">COMPLEX(0,-(2*PI()/($B$5*3600))*C126)</f>
        <v>-25.605798178061i</v>
      </c>
      <c r="N126" s="7" t="str">
        <f aca="false">COMPLEX(1,0)</f>
        <v>1</v>
      </c>
      <c r="O126" s="7" t="str">
        <f aca="false">IMSUM(IMPRODUCT(K126,O125),IMPRODUCT(L126,Q125))</f>
        <v>1</v>
      </c>
      <c r="P126" s="7" t="str">
        <f aca="false">IMSUM(IMPRODUCT(K126,P125),IMPRODUCT(L126,R125))</f>
        <v>-2.46310060146343</v>
      </c>
      <c r="Q126" s="7" t="str">
        <f aca="false">IMSUM(IMPRODUCT(M126,O125),IMPRODUCT(N126,Q125))</f>
        <v>-25.605798178061i</v>
      </c>
      <c r="R126" s="7" t="str">
        <f aca="false">IMSUM(IMPRODUCT(M126,P125),IMPRODUCT(N126,R125))</f>
        <v>1+63.0696568933333i</v>
      </c>
    </row>
    <row r="127" customFormat="false" ht="15" hidden="false" customHeight="false" outlineLevel="0" collapsed="false">
      <c r="A127" s="7" t="s">
        <v>68</v>
      </c>
      <c r="B127" s="7" t="s">
        <v>42</v>
      </c>
      <c r="C127" s="10" t="n">
        <f aca="false">P22/3</f>
        <v>1.55540040097562</v>
      </c>
      <c r="K127" s="7" t="str">
        <f aca="false">COMPLEX(1,0)</f>
        <v>1</v>
      </c>
      <c r="L127" s="7" t="str">
        <f aca="false">COMPLEX(-C127,0)</f>
        <v>-1.55540040097562</v>
      </c>
      <c r="M127" s="7" t="str">
        <f aca="false">COMPLEX(0,0)</f>
        <v>0</v>
      </c>
      <c r="N127" s="7" t="str">
        <f aca="false">COMPLEX(1,0)</f>
        <v>1</v>
      </c>
      <c r="O127" s="7" t="str">
        <f aca="false">IMSUM(IMPRODUCT(K127,O126),IMPRODUCT(L127,Q126))</f>
        <v>1+39.8272687534569i</v>
      </c>
      <c r="P127" s="7" t="str">
        <f aca="false">IMSUM(IMPRODUCT(K127,P126),IMPRODUCT(L127,R126))</f>
        <v>-4.01850100243905-98.0985696212854i</v>
      </c>
      <c r="Q127" s="7" t="str">
        <f aca="false">IMSUM(IMPRODUCT(M127,O126),IMPRODUCT(N127,Q126))</f>
        <v>-25.605798178061i</v>
      </c>
      <c r="R127" s="7" t="str">
        <f aca="false">IMSUM(IMPRODUCT(M127,P126),IMPRODUCT(N127,R126))</f>
        <v>1+63.0696568933333i</v>
      </c>
    </row>
    <row r="128" customFormat="false" ht="15" hidden="false" customHeight="false" outlineLevel="0" collapsed="false">
      <c r="A128" s="7" t="s">
        <v>70</v>
      </c>
      <c r="B128" s="7" t="s">
        <v>65</v>
      </c>
      <c r="C128" s="10" t="n">
        <f aca="false">INDEX(Classes!$B$5:$F$9,MATCH("M",Classes!$A$5:$A$9,0),2)*(N22*1000)</f>
        <v>0</v>
      </c>
      <c r="K128" s="7" t="str">
        <f aca="false">COMPLEX(1,0)</f>
        <v>1</v>
      </c>
      <c r="L128" s="7" t="str">
        <f aca="false">COMPLEX(0,0)</f>
        <v>0</v>
      </c>
      <c r="M128" s="7" t="str">
        <f aca="false">COMPLEX(0,-(2*PI()/($B$5*3600))*C128)</f>
        <v>0</v>
      </c>
      <c r="N128" s="7" t="str">
        <f aca="false">COMPLEX(1,0)</f>
        <v>1</v>
      </c>
      <c r="O128" s="7" t="str">
        <f aca="false">IMSUM(IMPRODUCT(K128,O127),IMPRODUCT(L128,Q127))</f>
        <v>1+39.8272687534569i</v>
      </c>
      <c r="P128" s="7" t="str">
        <f aca="false">IMSUM(IMPRODUCT(K128,P127),IMPRODUCT(L128,R127))</f>
        <v>-4.01850100243905-98.0985696212854i</v>
      </c>
      <c r="Q128" s="7" t="str">
        <f aca="false">IMSUM(IMPRODUCT(M128,O127),IMPRODUCT(N128,Q127))</f>
        <v>-25.605798178061i</v>
      </c>
      <c r="R128" s="7" t="str">
        <f aca="false">IMSUM(IMPRODUCT(M128,P127),IMPRODUCT(N128,R127))</f>
        <v>1+63.0696568933333i</v>
      </c>
    </row>
    <row r="129" customFormat="false" ht="15" hidden="false" customHeight="false" outlineLevel="0" collapsed="false">
      <c r="A129" s="7" t="s">
        <v>66</v>
      </c>
      <c r="B129" s="7" t="s">
        <v>42</v>
      </c>
      <c r="C129" s="10" t="n">
        <f aca="false">P22/6</f>
        <v>0.777700200487811</v>
      </c>
      <c r="K129" s="7" t="str">
        <f aca="false">COMPLEX(1,0)</f>
        <v>1</v>
      </c>
      <c r="L129" s="7" t="str">
        <f aca="false">COMPLEX(-C129,0)</f>
        <v>-0.777700200487811</v>
      </c>
      <c r="M129" s="7" t="str">
        <f aca="false">COMPLEX(0,0)</f>
        <v>0</v>
      </c>
      <c r="N129" s="7" t="str">
        <f aca="false">COMPLEX(1,0)</f>
        <v>1</v>
      </c>
      <c r="O129" s="7" t="str">
        <f aca="false">IMSUM(IMPRODUCT(K129,O128),IMPRODUCT(L129,Q128))</f>
        <v>1+59.7409031301854i</v>
      </c>
      <c r="P129" s="7" t="str">
        <f aca="false">IMSUM(IMPRODUCT(K129,P128),IMPRODUCT(L129,R128))</f>
        <v>-4.79620120292686-147.147854431928i</v>
      </c>
      <c r="Q129" s="7" t="str">
        <f aca="false">IMSUM(IMPRODUCT(M129,O128),IMPRODUCT(N129,Q128))</f>
        <v>-25.605798178061i</v>
      </c>
      <c r="R129" s="7" t="str">
        <f aca="false">IMSUM(IMPRODUCT(M129,P128),IMPRODUCT(N129,R128))</f>
        <v>1+63.0696568933333i</v>
      </c>
    </row>
    <row r="130" customFormat="false" ht="15" hidden="false" customHeight="false" outlineLevel="0" collapsed="false">
      <c r="A130" s="7" t="s">
        <v>71</v>
      </c>
      <c r="B130" s="7" t="s">
        <v>65</v>
      </c>
      <c r="C130" s="10" t="n">
        <f aca="false">INDEX(Classes!$B$5:$F$9,MATCH("M",Classes!$A$5:$A$9,0),1)*(N22*1000)</f>
        <v>0</v>
      </c>
      <c r="K130" s="7" t="str">
        <f aca="false">COMPLEX(1,0)</f>
        <v>1</v>
      </c>
      <c r="L130" s="7" t="str">
        <f aca="false">COMPLEX(0,0)</f>
        <v>0</v>
      </c>
      <c r="M130" s="7" t="str">
        <f aca="false">COMPLEX(0,-(2*PI()/($B$5*3600))*C130)</f>
        <v>0</v>
      </c>
      <c r="N130" s="7" t="str">
        <f aca="false">COMPLEX(1,0)</f>
        <v>1</v>
      </c>
      <c r="O130" s="7" t="str">
        <f aca="false">IMSUM(IMPRODUCT(K130,O129),IMPRODUCT(L130,Q129))</f>
        <v>1+59.7409031301854i</v>
      </c>
      <c r="P130" s="7" t="str">
        <f aca="false">IMSUM(IMPRODUCT(K130,P129),IMPRODUCT(L130,R129))</f>
        <v>-4.79620120292686-147.147854431928i</v>
      </c>
      <c r="Q130" s="7" t="str">
        <f aca="false">IMSUM(IMPRODUCT(M130,O129),IMPRODUCT(N130,Q129))</f>
        <v>-25.605798178061i</v>
      </c>
      <c r="R130" s="7" t="str">
        <f aca="false">IMSUM(IMPRODUCT(M130,P129),IMPRODUCT(N130,R129))</f>
        <v>1+63.0696568933333i</v>
      </c>
    </row>
    <row r="131" customFormat="false" ht="15" hidden="false" customHeight="false" outlineLevel="0" collapsed="false">
      <c r="A131" s="7" t="s">
        <v>72</v>
      </c>
      <c r="B131" s="7" t="s">
        <v>73</v>
      </c>
      <c r="K131" s="7" t="str">
        <f aca="false">K20</f>
        <v>1</v>
      </c>
      <c r="L131" s="7" t="str">
        <f aca="false">L20</f>
        <v>-0</v>
      </c>
      <c r="M131" s="7" t="str">
        <f aca="false">M20</f>
        <v>0</v>
      </c>
      <c r="N131" s="7" t="str">
        <f aca="false">N20</f>
        <v>1</v>
      </c>
      <c r="O131" s="7" t="str">
        <f aca="false">IMSUM(IMPRODUCT(K131,O130),IMPRODUCT(L131,Q130))</f>
        <v>1+59.7409031301854i</v>
      </c>
      <c r="P131" s="7" t="str">
        <f aca="false">IMSUM(IMPRODUCT(K131,P130),IMPRODUCT(L131,R130))</f>
        <v>-4.79620120292686-147.147854431928i</v>
      </c>
      <c r="Q131" s="7" t="str">
        <f aca="false">IMSUM(IMPRODUCT(M131,O130),IMPRODUCT(N131,Q130))</f>
        <v>-25.605798178061i</v>
      </c>
      <c r="R131" s="7" t="str">
        <f aca="false">IMSUM(IMPRODUCT(M131,P130),IMPRODUCT(N131,R130))</f>
        <v>1+63.0696568933333i</v>
      </c>
    </row>
    <row r="132" customFormat="false" ht="15" hidden="false" customHeight="false" outlineLevel="0" collapsed="false">
      <c r="A132" s="7" t="s">
        <v>52</v>
      </c>
      <c r="B132" s="7" t="s">
        <v>73</v>
      </c>
      <c r="K132" s="7" t="str">
        <f aca="false">K21</f>
        <v>1</v>
      </c>
      <c r="L132" s="7" t="str">
        <f aca="false">L21</f>
        <v>-0.04</v>
      </c>
      <c r="M132" s="7" t="str">
        <f aca="false">M21</f>
        <v>0</v>
      </c>
      <c r="N132" s="7" t="str">
        <f aca="false">N21</f>
        <v>1</v>
      </c>
      <c r="O132" s="7" t="str">
        <f aca="false">IMSUM(IMPRODUCT(K132,O131),IMPRODUCT(L132,Q131))</f>
        <v>1+60.7651350573078i</v>
      </c>
      <c r="P132" s="7" t="str">
        <f aca="false">IMSUM(IMPRODUCT(K132,P131),IMPRODUCT(L132,R131))</f>
        <v>-4.83620120292686-149.670640707661i</v>
      </c>
      <c r="Q132" s="7" t="str">
        <f aca="false">IMSUM(IMPRODUCT(M132,O131),IMPRODUCT(N132,Q131))</f>
        <v>-25.605798178061i</v>
      </c>
      <c r="R132" s="7" t="str">
        <f aca="false">IMSUM(IMPRODUCT(M132,P131),IMPRODUCT(N132,R131))</f>
        <v>1+63.0696568933333i</v>
      </c>
    </row>
    <row r="133" customFormat="false" ht="15" hidden="false" customHeight="false" outlineLevel="0" collapsed="false">
      <c r="A133" s="9" t="s">
        <v>74</v>
      </c>
      <c r="B133" s="13" t="n">
        <f aca="false">IMABS(IMDIV(IMPRODUCT(O132,COMPLEX(-1,0)),P132))</f>
        <v>0.405835514477491</v>
      </c>
    </row>
  </sheetData>
  <conditionalFormatting sqref="C43:C47">
    <cfRule type="colorScale" priority="2">
      <colorScale>
        <cfvo type="num" val="0.5"/>
        <cfvo type="num" val="1"/>
        <cfvo type="num" val="2"/>
        <color rgb="FF5B9BD5"/>
        <color rgb="FFFFFFFF"/>
        <color rgb="FFE46C0A"/>
      </colorScale>
    </cfRule>
  </conditionalFormatting>
  <dataValidations count="2">
    <dataValidation allowBlank="false" errorStyle="stop" operator="between" showDropDown="false" showErrorMessage="false" showInputMessage="false" sqref="B4" type="list">
      <formula1>Library!$A$5:$A$34</formula1>
      <formula2>0</formula2>
    </dataValidation>
    <dataValidation allowBlank="false" errorStyle="stop" operator="between" showDropDown="false" showErrorMessage="false" showInputMessage="false" sqref="B6" type="list">
      <formula1>"rule,I,E,IE,D,M"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10" min="4" style="0" width="9"/>
    <col collapsed="false" customWidth="true" hidden="false" outlineLevel="0" max="14" min="11" style="0" width="11"/>
  </cols>
  <sheetData>
    <row r="1" customFormat="false" ht="17.35" hidden="false" customHeight="false" outlineLevel="0" collapsed="false">
      <c r="A1" s="1" t="s">
        <v>186</v>
      </c>
    </row>
    <row r="2" customFormat="false" ht="15" hidden="false" customHeight="false" outlineLevel="0" collapsed="false">
      <c r="A2" s="17" t="s">
        <v>187</v>
      </c>
    </row>
    <row r="4" customFormat="false" ht="30" hidden="false" customHeight="true" outlineLevel="0" collapsed="false">
      <c r="A4" s="22" t="s">
        <v>188</v>
      </c>
      <c r="B4" s="22" t="s">
        <v>189</v>
      </c>
      <c r="C4" s="22" t="s">
        <v>173</v>
      </c>
      <c r="D4" s="22" t="s">
        <v>190</v>
      </c>
      <c r="E4" s="22" t="s">
        <v>191</v>
      </c>
      <c r="F4" s="22" t="s">
        <v>55</v>
      </c>
      <c r="G4" s="22" t="s">
        <v>56</v>
      </c>
      <c r="H4" s="22" t="s">
        <v>57</v>
      </c>
      <c r="I4" s="22" t="s">
        <v>192</v>
      </c>
      <c r="J4" s="22" t="s">
        <v>193</v>
      </c>
      <c r="K4" s="22" t="s">
        <v>194</v>
      </c>
      <c r="L4" s="22" t="s">
        <v>195</v>
      </c>
      <c r="M4" s="22" t="s">
        <v>196</v>
      </c>
      <c r="N4" s="22" t="s">
        <v>197</v>
      </c>
    </row>
    <row r="5" customFormat="false" ht="15" hidden="false" customHeight="false" outlineLevel="0" collapsed="false">
      <c r="A5" s="4" t="s">
        <v>17</v>
      </c>
      <c r="B5" s="7" t="str">
        <f aca="false">INDEX(Library!$B$5:$B$34,MATCH(A5,Library!$A$5:$A$34,0))</f>
        <v>Cavity: wet plaster, 100 dense block, 150 MW, brick</v>
      </c>
      <c r="C5" s="7" t="str">
        <f aca="false">Engine!C5</f>
        <v>IE</v>
      </c>
      <c r="D5" s="13" t="n">
        <f aca="false">Engine!B19</f>
        <v>0.212644822586131</v>
      </c>
      <c r="E5" s="13" t="n">
        <f aca="false">Engine!D19</f>
        <v>5.21334481066688</v>
      </c>
      <c r="F5" s="14" t="n">
        <f aca="false">Engine!F19</f>
        <v>1.37068976369534</v>
      </c>
      <c r="G5" s="13" t="n">
        <f aca="false">Engine!H19</f>
        <v>0.249209498438484</v>
      </c>
      <c r="H5" s="14" t="n">
        <f aca="false">Engine!J19</f>
        <v>9.93221936308962</v>
      </c>
      <c r="I5" s="15" t="n">
        <f aca="false">Engine!L19</f>
        <v>72.4053641522981</v>
      </c>
      <c r="J5" s="15" t="n">
        <f aca="false">Engine!N19</f>
        <v>360.255</v>
      </c>
      <c r="K5" s="13" t="n">
        <f aca="false">Engine!B35</f>
        <v>6.58559709675401</v>
      </c>
      <c r="L5" s="13" t="n">
        <f aca="false">K5/E5</f>
        <v>1.26321916848458</v>
      </c>
      <c r="M5" s="23" t="n">
        <v>5.213</v>
      </c>
      <c r="N5" s="23" t="n">
        <v>6.586</v>
      </c>
    </row>
    <row r="6" customFormat="false" ht="15" hidden="false" customHeight="false" outlineLevel="0" collapsed="false">
      <c r="A6" s="4" t="s">
        <v>75</v>
      </c>
      <c r="B6" s="7" t="str">
        <f aca="false">INDEX(Library!$B$5:$B$34,MATCH(A6,Library!$A$5:$A$34,0))</f>
        <v>Cavity: board on dabs, 100 dense block, 150 MW, brick</v>
      </c>
      <c r="C6" s="7" t="str">
        <f aca="false">Engine!C38</f>
        <v>IE</v>
      </c>
      <c r="D6" s="13" t="n">
        <f aca="false">Engine!B52</f>
        <v>0.206773861971417</v>
      </c>
      <c r="E6" s="13" t="n">
        <f aca="false">Engine!D52</f>
        <v>3.16468344649979</v>
      </c>
      <c r="F6" s="14" t="n">
        <f aca="false">Engine!F52</f>
        <v>1.00956100958001</v>
      </c>
      <c r="G6" s="13" t="n">
        <f aca="false">Engine!H52</f>
        <v>0.161337235455988</v>
      </c>
      <c r="H6" s="14" t="n">
        <f aca="false">Engine!J52</f>
        <v>10.4769240250572</v>
      </c>
      <c r="I6" s="15" t="n">
        <f aca="false">Engine!L52</f>
        <v>43.9721622905958</v>
      </c>
      <c r="J6" s="15" t="n">
        <f aca="false">Engine!N52</f>
        <v>352.105</v>
      </c>
      <c r="K6" s="13" t="n">
        <f aca="false">Engine!B68</f>
        <v>6.54618096559316</v>
      </c>
      <c r="L6" s="13" t="n">
        <f aca="false">K6/E6</f>
        <v>2.06851050863662</v>
      </c>
      <c r="M6" s="23" t="n">
        <v>3.165</v>
      </c>
      <c r="N6" s="23" t="n">
        <v>6.546</v>
      </c>
    </row>
    <row r="7" customFormat="false" ht="15" hidden="false" customHeight="false" outlineLevel="0" collapsed="false">
      <c r="A7" s="4" t="s">
        <v>78</v>
      </c>
      <c r="B7" s="7" t="str">
        <f aca="false">INDEX(Library!$B$5:$B$34,MATCH(A7,Library!$A$5:$A$34,0))</f>
        <v>Cavity: wet plaster, 100 aircrete, 150 MW, brick</v>
      </c>
      <c r="C7" s="7" t="str">
        <f aca="false">Engine!C71</f>
        <v>IE</v>
      </c>
      <c r="D7" s="13" t="n">
        <f aca="false">Engine!B85</f>
        <v>0.189363509077972</v>
      </c>
      <c r="E7" s="13" t="n">
        <f aca="false">Engine!D85</f>
        <v>2.81616468949563</v>
      </c>
      <c r="F7" s="14" t="n">
        <f aca="false">Engine!F85</f>
        <v>2.72967017867607</v>
      </c>
      <c r="G7" s="13" t="n">
        <f aca="false">Engine!H85</f>
        <v>0.362930441012726</v>
      </c>
      <c r="H7" s="14" t="n">
        <f aca="false">Engine!J85</f>
        <v>10.1159547040675</v>
      </c>
      <c r="I7" s="15" t="n">
        <f aca="false">Engine!L85</f>
        <v>39.6475702872301</v>
      </c>
      <c r="J7" s="15" t="n">
        <f aca="false">Engine!N85</f>
        <v>220.255</v>
      </c>
      <c r="K7" s="13" t="n">
        <f aca="false">Engine!B101</f>
        <v>5.48266604630281</v>
      </c>
      <c r="L7" s="13" t="n">
        <f aca="false">K7/E7</f>
        <v>1.94685561776742</v>
      </c>
      <c r="M7" s="23" t="n">
        <v>2.816</v>
      </c>
      <c r="N7" s="23" t="n">
        <v>5.483</v>
      </c>
    </row>
    <row r="8" customFormat="false" ht="15" hidden="false" customHeight="false" outlineLevel="0" collapsed="false">
      <c r="A8" s="4" t="s">
        <v>81</v>
      </c>
      <c r="B8" s="7" t="str">
        <f aca="false">INDEX(Library!$B$5:$B$34,MATCH(A8,Library!$A$5:$A$34,0))</f>
        <v>Cavity: board on dabs, 100 aircrete, 150 MW, brick</v>
      </c>
      <c r="C8" s="7" t="str">
        <f aca="false">Engine!C104</f>
        <v>IE</v>
      </c>
      <c r="D8" s="13" t="n">
        <f aca="false">Engine!B118</f>
        <v>0.184693616476909</v>
      </c>
      <c r="E8" s="13" t="n">
        <f aca="false">Engine!D118</f>
        <v>2.02638797427224</v>
      </c>
      <c r="F8" s="14" t="n">
        <f aca="false">Engine!F118</f>
        <v>2.31535095515211</v>
      </c>
      <c r="G8" s="13" t="n">
        <f aca="false">Engine!H118</f>
        <v>0.306379127595433</v>
      </c>
      <c r="H8" s="14" t="n">
        <f aca="false">Engine!J118</f>
        <v>10.4357614032658</v>
      </c>
      <c r="I8" s="15" t="n">
        <f aca="false">Engine!L118</f>
        <v>28.6283600276538</v>
      </c>
      <c r="J8" s="15" t="n">
        <f aca="false">Engine!N118</f>
        <v>212.105</v>
      </c>
      <c r="K8" s="13" t="n">
        <f aca="false">Engine!B134</f>
        <v>5.38167367469834</v>
      </c>
      <c r="L8" s="13" t="n">
        <f aca="false">K8/E8</f>
        <v>2.65579629519422</v>
      </c>
      <c r="M8" s="23" t="n">
        <v>2.026</v>
      </c>
      <c r="N8" s="23" t="n">
        <v>5.382</v>
      </c>
    </row>
    <row r="9" customFormat="false" ht="15" hidden="false" customHeight="false" outlineLevel="0" collapsed="false">
      <c r="A9" s="4" t="s">
        <v>84</v>
      </c>
      <c r="B9" s="7" t="str">
        <f aca="false">INDEX(Library!$B$5:$B$34,MATCH(A9,Library!$A$5:$A$34,0))</f>
        <v>Timber frame: board, 140 MW studs, OSB, cavity, brick</v>
      </c>
      <c r="C9" s="7" t="str">
        <f aca="false">Engine!C137</f>
        <v>E</v>
      </c>
      <c r="D9" s="13" t="n">
        <f aca="false">Engine!B151</f>
        <v>0.243236675846428</v>
      </c>
      <c r="E9" s="13" t="n">
        <f aca="false">Engine!D151</f>
        <v>0.888628766399237</v>
      </c>
      <c r="F9" s="14" t="n">
        <f aca="false">Engine!F151</f>
        <v>4.19237243539884</v>
      </c>
      <c r="G9" s="13" t="n">
        <f aca="false">Engine!H151</f>
        <v>0.642999040918244</v>
      </c>
      <c r="H9" s="14" t="n">
        <f aca="false">Engine!J151</f>
        <v>6.55093311673457</v>
      </c>
      <c r="I9" s="15" t="n">
        <f aca="false">Engine!L151</f>
        <v>14.2717662348645</v>
      </c>
      <c r="J9" s="15" t="n">
        <f aca="false">Engine!N151</f>
        <v>167.495</v>
      </c>
      <c r="K9" s="13" t="n">
        <f aca="false">Engine!B167</f>
        <v>0.243689743334548</v>
      </c>
      <c r="L9" s="13" t="n">
        <f aca="false">K9/E9</f>
        <v>0.274231211670076</v>
      </c>
      <c r="M9" s="23" t="n">
        <v>0.889</v>
      </c>
      <c r="N9" s="23" t="n">
        <v>0.244</v>
      </c>
    </row>
    <row r="10" customFormat="false" ht="15" hidden="false" customHeight="false" outlineLevel="0" collapsed="false">
      <c r="A10" s="4" t="s">
        <v>87</v>
      </c>
      <c r="B10" s="7" t="str">
        <f aca="false">INDEX(Library!$B$5:$B$34,MATCH(A10,Library!$A$5:$A$34,0))</f>
        <v>Timber frame: board, 140 MW studs, 60 wood fibre, render</v>
      </c>
      <c r="C10" s="7" t="str">
        <f aca="false">Engine!C170</f>
        <v>D</v>
      </c>
      <c r="D10" s="13" t="n">
        <f aca="false">Engine!B184</f>
        <v>0.187935616743226</v>
      </c>
      <c r="E10" s="13" t="n">
        <f aca="false">Engine!D184</f>
        <v>0.921998378163155</v>
      </c>
      <c r="F10" s="14" t="n">
        <f aca="false">Engine!F184</f>
        <v>4.21738336494567</v>
      </c>
      <c r="G10" s="13" t="n">
        <f aca="false">Engine!H184</f>
        <v>0.649687843931576</v>
      </c>
      <c r="H10" s="14" t="n">
        <f aca="false">Engine!J184</f>
        <v>6.30856406148944</v>
      </c>
      <c r="I10" s="15" t="n">
        <f aca="false">Engine!L184</f>
        <v>14.2479221392243</v>
      </c>
      <c r="J10" s="15" t="n">
        <f aca="false">Engine!N184</f>
        <v>56.99</v>
      </c>
      <c r="K10" s="13" t="n">
        <f aca="false">Engine!B200</f>
        <v>1.02598884033376</v>
      </c>
      <c r="L10" s="13" t="n">
        <f aca="false">K10/E10</f>
        <v>1.11278811832378</v>
      </c>
      <c r="M10" s="23" t="n">
        <v>0.922</v>
      </c>
      <c r="N10" s="23" t="n">
        <v>1.026</v>
      </c>
    </row>
    <row r="11" customFormat="false" ht="15" hidden="false" customHeight="false" outlineLevel="0" collapsed="false">
      <c r="A11" s="4" t="s">
        <v>90</v>
      </c>
      <c r="B11" s="7" t="str">
        <f aca="false">INDEX(Library!$B$5:$B$34,MATCH(A11,Library!$A$5:$A$34,0))</f>
        <v>SIPs: board, OSB, 142 PUR, OSB, ventilated cladding</v>
      </c>
      <c r="C11" s="7" t="str">
        <f aca="false">Engine!C203</f>
        <v>IE</v>
      </c>
      <c r="D11" s="13" t="n">
        <f aca="false">Engine!B217</f>
        <v>0.141146477894807</v>
      </c>
      <c r="E11" s="13" t="n">
        <f aca="false">Engine!D217</f>
        <v>1.63691893594691</v>
      </c>
      <c r="F11" s="14" t="n">
        <f aca="false">Engine!F217</f>
        <v>3.94669071767327</v>
      </c>
      <c r="G11" s="13" t="n">
        <f aca="false">Engine!H217</f>
        <v>0.822011309541227</v>
      </c>
      <c r="H11" s="14" t="n">
        <f aca="false">Engine!J217</f>
        <v>4.4983591182016</v>
      </c>
      <c r="I11" s="15" t="n">
        <f aca="false">Engine!L217</f>
        <v>23.4970549700103</v>
      </c>
      <c r="J11" s="15" t="n">
        <f aca="false">Engine!N217</f>
        <v>47.864</v>
      </c>
      <c r="K11" s="13" t="n">
        <f aca="false">Engine!B233</f>
        <v>1.67354404497259</v>
      </c>
      <c r="L11" s="13" t="n">
        <f aca="false">K11/E11</f>
        <v>1.02237441831809</v>
      </c>
      <c r="M11" s="23" t="n">
        <v>1.637</v>
      </c>
      <c r="N11" s="23" t="n">
        <v>1.674</v>
      </c>
    </row>
    <row r="12" customFormat="false" ht="15" hidden="false" customHeight="false" outlineLevel="0" collapsed="false">
      <c r="A12" s="4" t="s">
        <v>93</v>
      </c>
      <c r="B12" s="7" t="str">
        <f aca="false">INDEX(Library!$B$5:$B$34,MATCH(A12,Library!$A$5:$A$34,0))</f>
        <v>Exposed 100 CLT, 160 wood fibre, render</v>
      </c>
      <c r="C12" s="7" t="str">
        <f aca="false">Engine!C236</f>
        <v>I</v>
      </c>
      <c r="D12" s="13" t="n">
        <f aca="false">Engine!B250</f>
        <v>0.193713715440826</v>
      </c>
      <c r="E12" s="13" t="n">
        <f aca="false">Engine!D250</f>
        <v>2.18745011082907</v>
      </c>
      <c r="F12" s="14" t="n">
        <f aca="false">Engine!F250</f>
        <v>2.26360794147914</v>
      </c>
      <c r="G12" s="13" t="n">
        <f aca="false">Engine!H250</f>
        <v>0.149928813231233</v>
      </c>
      <c r="H12" s="14" t="n">
        <f aca="false">Engine!J250</f>
        <v>14.6098633795862</v>
      </c>
      <c r="I12" s="15" t="n">
        <f aca="false">Engine!L250</f>
        <v>30.1981010521682</v>
      </c>
      <c r="J12" s="15" t="n">
        <f aca="false">Engine!N250</f>
        <v>146.96</v>
      </c>
      <c r="K12" s="13" t="n">
        <f aca="false">Engine!B266</f>
        <v>6.18931798314196</v>
      </c>
      <c r="L12" s="13" t="n">
        <f aca="false">K12/E12</f>
        <v>2.8294670367573</v>
      </c>
      <c r="M12" s="23" t="n">
        <v>2.187</v>
      </c>
      <c r="N12" s="23" t="n">
        <v>6.189</v>
      </c>
    </row>
    <row r="13" customFormat="false" ht="15" hidden="false" customHeight="false" outlineLevel="0" collapsed="false">
      <c r="A13" s="4" t="s">
        <v>96</v>
      </c>
      <c r="B13" s="7" t="str">
        <f aca="false">INDEX(Library!$B$5:$B$34,MATCH(A13,Library!$A$5:$A$34,0))</f>
        <v>Lined CLT: board, 100 CLT, 160 MW, cladding</v>
      </c>
      <c r="C13" s="7" t="str">
        <f aca="false">Engine!C269</f>
        <v>I</v>
      </c>
      <c r="D13" s="13" t="n">
        <f aca="false">Engine!B283</f>
        <v>0.174210469219626</v>
      </c>
      <c r="E13" s="13" t="n">
        <f aca="false">Engine!D283</f>
        <v>1.81968317069952</v>
      </c>
      <c r="F13" s="14" t="n">
        <f aca="false">Engine!F283</f>
        <v>2.12141142862456</v>
      </c>
      <c r="G13" s="13" t="n">
        <f aca="false">Engine!H283</f>
        <v>0.289021037525599</v>
      </c>
      <c r="H13" s="14" t="n">
        <f aca="false">Engine!J283</f>
        <v>8.3252573558039</v>
      </c>
      <c r="I13" s="15" t="n">
        <f aca="false">Engine!L283</f>
        <v>25.659805170322</v>
      </c>
      <c r="J13" s="15" t="n">
        <f aca="false">Engine!N283</f>
        <v>88.894</v>
      </c>
      <c r="K13" s="13" t="n">
        <f aca="false">Engine!B299</f>
        <v>4.88422094096694</v>
      </c>
      <c r="L13" s="13" t="n">
        <f aca="false">K13/E13</f>
        <v>2.68410513413132</v>
      </c>
      <c r="M13" s="23" t="n">
        <v>1.82</v>
      </c>
      <c r="N13" s="23" t="n">
        <v>4.884</v>
      </c>
    </row>
    <row r="14" customFormat="false" ht="15" hidden="false" customHeight="false" outlineLevel="0" collapsed="false">
      <c r="A14" s="4" t="s">
        <v>99</v>
      </c>
      <c r="B14" s="7" t="str">
        <f aca="false">INDEX(Library!$B$5:$B$34,MATCH(A14,Library!$A$5:$A$34,0))</f>
        <v>ICF: board on dabs, 70 EPS, 150 concrete, 70 EPS, render</v>
      </c>
      <c r="C14" s="7" t="str">
        <f aca="false">Engine!C302</f>
        <v>M</v>
      </c>
      <c r="D14" s="13" t="n">
        <f aca="false">Engine!B316</f>
        <v>0.208680098377761</v>
      </c>
      <c r="E14" s="13" t="n">
        <f aca="false">Engine!D316</f>
        <v>0.753397974471856</v>
      </c>
      <c r="F14" s="14" t="n">
        <f aca="false">Engine!F316</f>
        <v>3.49529096524613</v>
      </c>
      <c r="G14" s="13" t="n">
        <f aca="false">Engine!H316</f>
        <v>0.0312363489047146</v>
      </c>
      <c r="H14" s="14" t="n">
        <f aca="false">Engine!J316</f>
        <v>8.17330048874918</v>
      </c>
      <c r="I14" s="15" t="n">
        <f aca="false">Engine!L316</f>
        <v>10.4492660353294</v>
      </c>
      <c r="J14" s="15" t="n">
        <f aca="false">Engine!N316</f>
        <v>390.81</v>
      </c>
      <c r="K14" s="13" t="n">
        <f aca="false">Engine!B332</f>
        <v>0.409535325839835</v>
      </c>
      <c r="L14" s="13" t="n">
        <f aca="false">K14/E14</f>
        <v>0.543584320261713</v>
      </c>
      <c r="M14" s="23" t="n">
        <v>0.753</v>
      </c>
      <c r="N14" s="23" t="n">
        <v>0.41</v>
      </c>
    </row>
    <row r="15" customFormat="false" ht="15" hidden="false" customHeight="false" outlineLevel="0" collapsed="false">
      <c r="A15" s="4" t="s">
        <v>102</v>
      </c>
      <c r="B15" s="7" t="str">
        <f aca="false">INDEX(Library!$B$5:$B$34,MATCH(A15,Library!$A$5:$A$34,0))</f>
        <v>Solid 215 brick, wet plaster, uninsulated</v>
      </c>
      <c r="C15" s="7" t="str">
        <f aca="false">Engine!C335</f>
        <v>D</v>
      </c>
      <c r="D15" s="13" t="n">
        <f aca="false">Engine!B349</f>
        <v>2.10428508963708</v>
      </c>
      <c r="E15" s="13" t="n">
        <f aca="false">Engine!D349</f>
        <v>4.25388435449535</v>
      </c>
      <c r="F15" s="14" t="n">
        <f aca="false">Engine!F349</f>
        <v>1.42288357494103</v>
      </c>
      <c r="G15" s="13" t="n">
        <f aca="false">Engine!H349</f>
        <v>0.518284792799949</v>
      </c>
      <c r="H15" s="14" t="n">
        <f aca="false">Engine!J349</f>
        <v>6.3601833626031</v>
      </c>
      <c r="I15" s="15" t="n">
        <f aca="false">Engine!L349</f>
        <v>66.6046879184132</v>
      </c>
      <c r="J15" s="15" t="n">
        <f aca="false">Engine!N349</f>
        <v>309.3</v>
      </c>
      <c r="K15" s="13" t="n">
        <f aca="false">Engine!B365</f>
        <v>4.7165697150989</v>
      </c>
      <c r="L15" s="13" t="n">
        <f aca="false">K15/E15</f>
        <v>1.10876773368665</v>
      </c>
      <c r="M15" s="23" t="n">
        <v>4.254</v>
      </c>
      <c r="N15" s="23" t="n">
        <v>4.717</v>
      </c>
    </row>
    <row r="16" customFormat="false" ht="15" hidden="false" customHeight="false" outlineLevel="0" collapsed="false">
      <c r="A16" s="4" t="s">
        <v>105</v>
      </c>
      <c r="B16" s="7" t="str">
        <f aca="false">INDEX(Library!$B$5:$B$34,MATCH(A16,Library!$A$5:$A$34,0))</f>
        <v>Solid brick + IWI: board, 80 PIR, 215 brick</v>
      </c>
      <c r="C16" s="7" t="str">
        <f aca="false">Engine!C368</f>
        <v>E</v>
      </c>
      <c r="D16" s="13" t="n">
        <f aca="false">Engine!B382</f>
        <v>0.241248224580165</v>
      </c>
      <c r="E16" s="13" t="n">
        <f aca="false">Engine!D382</f>
        <v>0.73574468479199</v>
      </c>
      <c r="F16" s="14" t="n">
        <f aca="false">Engine!F382</f>
        <v>4.2151759540183</v>
      </c>
      <c r="G16" s="13" t="n">
        <f aca="false">Engine!H382</f>
        <v>0.296619017806609</v>
      </c>
      <c r="H16" s="14" t="n">
        <f aca="false">Engine!J382</f>
        <v>8.31537672817197</v>
      </c>
      <c r="I16" s="15" t="n">
        <f aca="false">Engine!L382</f>
        <v>11.0925797787899</v>
      </c>
      <c r="J16" s="15" t="n">
        <f aca="false">Engine!N382</f>
        <v>304.51</v>
      </c>
      <c r="K16" s="13" t="n">
        <f aca="false">Engine!B398</f>
        <v>0.242273310520613</v>
      </c>
      <c r="L16" s="13" t="n">
        <f aca="false">K16/E16</f>
        <v>0.329289922888275</v>
      </c>
      <c r="M16" s="23" t="n">
        <v>0.736</v>
      </c>
      <c r="N16" s="23" t="n">
        <v>0.242</v>
      </c>
    </row>
    <row r="17" customFormat="false" ht="15" hidden="false" customHeight="false" outlineLevel="0" collapsed="false">
      <c r="A17" s="4" t="s">
        <v>108</v>
      </c>
      <c r="B17" s="7" t="str">
        <f aca="false">INDEX(Library!$B$5:$B$34,MATCH(A17,Library!$A$5:$A$34,0))</f>
        <v>Solid brick + EWI: plaster, 215 brick, 100 EPS, render</v>
      </c>
      <c r="C17" s="7" t="str">
        <f aca="false">Engine!C401</f>
        <v>I</v>
      </c>
      <c r="D17" s="13" t="n">
        <f aca="false">Engine!B415</f>
        <v>0.276799692285017</v>
      </c>
      <c r="E17" s="13" t="n">
        <f aca="false">Engine!D415</f>
        <v>4.32406455904863</v>
      </c>
      <c r="F17" s="14" t="n">
        <f aca="false">Engine!F415</f>
        <v>1.29137341300753</v>
      </c>
      <c r="G17" s="13" t="n">
        <f aca="false">Engine!H415</f>
        <v>0.17187123348234</v>
      </c>
      <c r="H17" s="14" t="n">
        <f aca="false">Engine!J415</f>
        <v>9.23765046121772</v>
      </c>
      <c r="I17" s="15" t="n">
        <f aca="false">Engine!L415</f>
        <v>60.0669344220948</v>
      </c>
      <c r="J17" s="15" t="n">
        <f aca="false">Engine!N415</f>
        <v>330.2</v>
      </c>
      <c r="K17" s="13" t="n">
        <f aca="false">Engine!B431</f>
        <v>7.300347385398</v>
      </c>
      <c r="L17" s="13" t="n">
        <f aca="false">K17/E17</f>
        <v>1.68830675067539</v>
      </c>
      <c r="M17" s="23" t="n">
        <v>4.324</v>
      </c>
      <c r="N17" s="23" t="n">
        <v>7.3</v>
      </c>
    </row>
    <row r="18" customFormat="false" ht="15" hidden="false" customHeight="false" outlineLevel="0" collapsed="false">
      <c r="A18" s="4" t="s">
        <v>111</v>
      </c>
      <c r="B18" s="7" t="str">
        <f aca="false">INDEX(Library!$B$5:$B$34,MATCH(A18,Library!$A$5:$A$34,0))</f>
        <v>Hempcrete: lime plaster, 300 hempcrete, lime render</v>
      </c>
      <c r="C18" s="7" t="str">
        <f aca="false">Engine!C434</f>
        <v>D</v>
      </c>
      <c r="D18" s="13" t="n">
        <f aca="false">Engine!B448</f>
        <v>0.222425229376018</v>
      </c>
      <c r="E18" s="13" t="n">
        <f aca="false">Engine!D448</f>
        <v>2.49314337924246</v>
      </c>
      <c r="F18" s="14" t="n">
        <f aca="false">Engine!F448</f>
        <v>3.30486859743184</v>
      </c>
      <c r="G18" s="13" t="n">
        <f aca="false">Engine!H448</f>
        <v>0.0871456114935526</v>
      </c>
      <c r="H18" s="14" t="n">
        <f aca="false">Engine!J448</f>
        <v>17.2746328497847</v>
      </c>
      <c r="I18" s="15" t="n">
        <f aca="false">Engine!L448</f>
        <v>34.1171912644209</v>
      </c>
      <c r="J18" s="15" t="n">
        <f aca="false">Engine!N448</f>
        <v>199.5</v>
      </c>
      <c r="K18" s="13" t="n">
        <f aca="false">Engine!B464</f>
        <v>2.10605304682281</v>
      </c>
      <c r="L18" s="13" t="n">
        <f aca="false">K18/E18</f>
        <v>0.844738038075746</v>
      </c>
      <c r="M18" s="23" t="n">
        <v>2.493</v>
      </c>
      <c r="N18" s="23" t="n">
        <v>2.106</v>
      </c>
    </row>
    <row r="19" customFormat="false" ht="15" hidden="false" customHeight="false" outlineLevel="0" collapsed="false">
      <c r="A19" s="4" t="s">
        <v>114</v>
      </c>
      <c r="B19" s="7" t="str">
        <f aca="false">INDEX(Library!$B$5:$B$34,MATCH(A19,Library!$A$5:$A$34,0))</f>
        <v>Exposed 300 rammed earth, 120 wood fibre, render</v>
      </c>
      <c r="C19" s="7" t="str">
        <f aca="false">Engine!C467</f>
        <v>I</v>
      </c>
      <c r="D19" s="13" t="n">
        <f aca="false">Engine!B481</f>
        <v>0.274695485596559</v>
      </c>
      <c r="E19" s="13" t="n">
        <f aca="false">Engine!D481</f>
        <v>4.89807654572988</v>
      </c>
      <c r="F19" s="14" t="n">
        <f aca="false">Engine!F481</f>
        <v>1.18806216927006</v>
      </c>
      <c r="G19" s="13" t="n">
        <f aca="false">Engine!H481</f>
        <v>0.0593631294054339</v>
      </c>
      <c r="H19" s="14" t="n">
        <f aca="false">Engine!J481</f>
        <v>16.3555913285752</v>
      </c>
      <c r="I19" s="15" t="n">
        <f aca="false">Engine!L481</f>
        <v>67.3804809993326</v>
      </c>
      <c r="J19" s="15" t="n">
        <f aca="false">Engine!N481</f>
        <v>571.32</v>
      </c>
      <c r="K19" s="13" t="n">
        <f aca="false">Engine!B497</f>
        <v>7.55450256128926</v>
      </c>
      <c r="L19" s="13" t="n">
        <f aca="false">K19/E19</f>
        <v>1.54234064959137</v>
      </c>
      <c r="M19" s="23" t="n">
        <v>4.898</v>
      </c>
      <c r="N19" s="23" t="n">
        <v>7.555</v>
      </c>
    </row>
    <row r="20" customFormat="false" ht="15" hidden="false" customHeight="false" outlineLevel="0" collapsed="false">
      <c r="A20" s="4" t="s">
        <v>117</v>
      </c>
      <c r="B20" s="7" t="str">
        <f aca="false">INDEX(Library!$B$5:$B$34,MATCH(A20,Library!$A$5:$A$34,0))</f>
        <v>65 screed on 100 PIR on slab</v>
      </c>
      <c r="C20" s="7" t="str">
        <f aca="false">Engine!C500</f>
        <v>IE</v>
      </c>
      <c r="D20" s="13" t="n">
        <f aca="false">Engine!B514</f>
        <v>0.182194398302399</v>
      </c>
      <c r="E20" s="13" t="n">
        <f aca="false">Engine!D514</f>
        <v>4.57228001810976</v>
      </c>
      <c r="F20" s="14" t="n">
        <f aca="false">Engine!F514</f>
        <v>1.92707351885245</v>
      </c>
      <c r="G20" s="13" t="str">
        <f aca="false">Engine!H514</f>
        <v>–</v>
      </c>
      <c r="H20" s="14" t="str">
        <f aca="false">Engine!J514</f>
        <v>–</v>
      </c>
      <c r="I20" s="15" t="n">
        <f aca="false">Engine!L514</f>
        <v>62.8733464471059</v>
      </c>
      <c r="J20" s="15" t="n">
        <f aca="false">Engine!N514</f>
        <v>374.2</v>
      </c>
      <c r="K20" s="13" t="n">
        <f aca="false">Engine!B530</f>
        <v>5.3688655695125</v>
      </c>
      <c r="L20" s="13" t="n">
        <f aca="false">K20/E20</f>
        <v>1.17422064008496</v>
      </c>
      <c r="M20" s="23" t="n">
        <v>4.572</v>
      </c>
      <c r="N20" s="23" t="n">
        <v>5.369</v>
      </c>
    </row>
    <row r="21" customFormat="false" ht="15" hidden="false" customHeight="false" outlineLevel="0" collapsed="false">
      <c r="A21" s="4" t="s">
        <v>120</v>
      </c>
      <c r="B21" s="7" t="str">
        <f aca="false">INDEX(Library!$B$5:$B$34,MATCH(A21,Library!$A$5:$A$34,0))</f>
        <v>Suspended timber: 22 chipboard, 150 MW, vented void</v>
      </c>
      <c r="C21" s="7" t="str">
        <f aca="false">Engine!C533</f>
        <v>I</v>
      </c>
      <c r="D21" s="13" t="n">
        <f aca="false">Engine!B547</f>
        <v>0.242886884108258</v>
      </c>
      <c r="E21" s="13" t="n">
        <f aca="false">Engine!D547</f>
        <v>1.72310969708013</v>
      </c>
      <c r="F21" s="14" t="n">
        <f aca="false">Engine!F547</f>
        <v>3.89084861562251</v>
      </c>
      <c r="G21" s="13" t="n">
        <f aca="false">Engine!H547</f>
        <v>0.862006353919114</v>
      </c>
      <c r="H21" s="14" t="n">
        <f aca="false">Engine!J547</f>
        <v>3.62830892843774</v>
      </c>
      <c r="I21" s="15" t="n">
        <f aca="false">Engine!L547</f>
        <v>24.9511356414122</v>
      </c>
      <c r="J21" s="15" t="n">
        <f aca="false">Engine!N547</f>
        <v>35.11</v>
      </c>
      <c r="K21" s="13" t="n">
        <f aca="false">Engine!B563</f>
        <v>2.27107456004813</v>
      </c>
      <c r="L21" s="13" t="n">
        <f aca="false">K21/E21</f>
        <v>1.31800927352249</v>
      </c>
      <c r="M21" s="23" t="n">
        <v>1.723</v>
      </c>
      <c r="N21" s="23" t="n">
        <v>2.271</v>
      </c>
    </row>
    <row r="22" customFormat="false" ht="15" hidden="false" customHeight="false" outlineLevel="0" collapsed="false">
      <c r="A22" s="4" t="s">
        <v>123</v>
      </c>
      <c r="B22" s="7" t="str">
        <f aca="false">INDEX(Library!$B$5:$B$34,MATCH(A22,Library!$A$5:$A$34,0))</f>
        <v>Exposed 150 slab (polished) on 120 PIR</v>
      </c>
      <c r="C22" s="7" t="str">
        <f aca="false">Engine!C566</f>
        <v>I</v>
      </c>
      <c r="D22" s="13" t="n">
        <f aca="false">Engine!B580</f>
        <v>0.157079277435324</v>
      </c>
      <c r="E22" s="13" t="n">
        <f aca="false">Engine!D580</f>
        <v>5.02308254376222</v>
      </c>
      <c r="F22" s="14" t="n">
        <f aca="false">Engine!F580</f>
        <v>0.79988649390316</v>
      </c>
      <c r="G22" s="13" t="str">
        <f aca="false">Engine!H580</f>
        <v>–</v>
      </c>
      <c r="H22" s="14" t="str">
        <f aca="false">Engine!J580</f>
        <v>–</v>
      </c>
      <c r="I22" s="15" t="n">
        <f aca="false">Engine!L580</f>
        <v>69.0723876085495</v>
      </c>
      <c r="J22" s="15" t="n">
        <f aca="false">Engine!N580</f>
        <v>365.04</v>
      </c>
      <c r="K22" s="13" t="n">
        <f aca="false">Engine!B596</f>
        <v>5.73488042518859</v>
      </c>
      <c r="L22" s="13" t="n">
        <f aca="false">K22/E22</f>
        <v>1.14170539210237</v>
      </c>
      <c r="M22" s="23" t="n">
        <v>5.023</v>
      </c>
      <c r="N22" s="23" t="n">
        <v>5.735</v>
      </c>
    </row>
    <row r="23" customFormat="false" ht="15" hidden="false" customHeight="false" outlineLevel="0" collapsed="false">
      <c r="A23" s="4" t="s">
        <v>126</v>
      </c>
      <c r="B23" s="7" t="str">
        <f aca="false">INDEX(Library!$B$5:$B$34,MATCH(A23,Library!$A$5:$A$34,0))</f>
        <v>Carpet on 65 screed on 100 PIR on slab</v>
      </c>
      <c r="C23" s="7" t="str">
        <f aca="false">Engine!C599</f>
        <v>IE</v>
      </c>
      <c r="D23" s="13" t="n">
        <f aca="false">Engine!B613</f>
        <v>0.17578884956736</v>
      </c>
      <c r="E23" s="13" t="n">
        <f aca="false">Engine!D613</f>
        <v>2.49789853492914</v>
      </c>
      <c r="F23" s="14" t="n">
        <f aca="false">Engine!F613</f>
        <v>1.0348437980642</v>
      </c>
      <c r="G23" s="13" t="str">
        <f aca="false">Engine!H613</f>
        <v>–</v>
      </c>
      <c r="H23" s="14" t="str">
        <f aca="false">Engine!J613</f>
        <v>–</v>
      </c>
      <c r="I23" s="15" t="n">
        <f aca="false">Engine!L613</f>
        <v>34.3485573305876</v>
      </c>
      <c r="J23" s="15" t="n">
        <f aca="false">Engine!N613</f>
        <v>377.32</v>
      </c>
      <c r="K23" s="13" t="n">
        <f aca="false">Engine!B629</f>
        <v>5.37747868890962</v>
      </c>
      <c r="L23" s="13" t="n">
        <f aca="false">K23/E23</f>
        <v>2.15280109008198</v>
      </c>
      <c r="M23" s="23" t="n">
        <v>2.498</v>
      </c>
      <c r="N23" s="23" t="n">
        <v>5.377</v>
      </c>
    </row>
    <row r="24" customFormat="false" ht="15" hidden="false" customHeight="false" outlineLevel="0" collapsed="false">
      <c r="A24" s="4" t="s">
        <v>129</v>
      </c>
      <c r="B24" s="7" t="str">
        <f aca="false">INDEX(Library!$B$5:$B$34,MATCH(A24,Library!$A$5:$A$34,0))</f>
        <v>Timber joist: 22 chipboard, void, 12.5 board ceiling</v>
      </c>
      <c r="C24" s="7" t="str">
        <f aca="false">Engine!C632</f>
        <v>D</v>
      </c>
      <c r="D24" s="13" t="str">
        <f aca="false">Engine!B646</f>
        <v>–</v>
      </c>
      <c r="E24" s="13" t="n">
        <f aca="false">Engine!D646</f>
        <v>1.7430379259169</v>
      </c>
      <c r="F24" s="14" t="n">
        <f aca="false">Engine!F646</f>
        <v>1.75832414574478</v>
      </c>
      <c r="G24" s="13" t="str">
        <f aca="false">Engine!H646</f>
        <v>–</v>
      </c>
      <c r="H24" s="14" t="str">
        <f aca="false">Engine!J646</f>
        <v>–</v>
      </c>
      <c r="I24" s="15" t="n">
        <f aca="false">Engine!L646</f>
        <v>17.8185428670295</v>
      </c>
      <c r="J24" s="15" t="n">
        <f aca="false">Engine!N646</f>
        <v>33.06</v>
      </c>
      <c r="K24" s="13" t="n">
        <f aca="false">Engine!B662</f>
        <v>1.64023442854733</v>
      </c>
      <c r="L24" s="13" t="n">
        <f aca="false">K24/E24</f>
        <v>0.94102050457939</v>
      </c>
      <c r="M24" s="23" t="n">
        <v>1.743</v>
      </c>
      <c r="N24" s="23" t="n">
        <v>1.64</v>
      </c>
    </row>
    <row r="25" customFormat="false" ht="15" hidden="false" customHeight="false" outlineLevel="0" collapsed="false">
      <c r="A25" s="4" t="s">
        <v>132</v>
      </c>
      <c r="B25" s="7" t="str">
        <f aca="false">INDEX(Library!$B$5:$B$34,MATCH(A25,Library!$A$5:$A$34,0))</f>
        <v>Concrete: 50 screed, 150 plank, exposed soffit</v>
      </c>
      <c r="C25" s="7" t="str">
        <f aca="false">Engine!C665</f>
        <v>D</v>
      </c>
      <c r="D25" s="13" t="str">
        <f aca="false">Engine!B679</f>
        <v>–</v>
      </c>
      <c r="E25" s="13" t="n">
        <f aca="false">Engine!D679</f>
        <v>4.44468768632459</v>
      </c>
      <c r="F25" s="14" t="n">
        <f aca="false">Engine!F679</f>
        <v>0.814298983704525</v>
      </c>
      <c r="G25" s="13" t="str">
        <f aca="false">Engine!H679</f>
        <v>–</v>
      </c>
      <c r="H25" s="14" t="str">
        <f aca="false">Engine!J679</f>
        <v>–</v>
      </c>
      <c r="I25" s="15" t="n">
        <f aca="false">Engine!L679</f>
        <v>65.3811141122019</v>
      </c>
      <c r="J25" s="15" t="n">
        <f aca="false">Engine!N679</f>
        <v>430</v>
      </c>
      <c r="K25" s="13" t="n">
        <f aca="false">Engine!B695</f>
        <v>4.73017598659687</v>
      </c>
      <c r="L25" s="13" t="n">
        <f aca="false">K25/E25</f>
        <v>1.06423135221641</v>
      </c>
      <c r="M25" s="23" t="n">
        <v>4.445</v>
      </c>
      <c r="N25" s="23" t="n">
        <v>4.73</v>
      </c>
    </row>
    <row r="26" customFormat="false" ht="15" hidden="false" customHeight="false" outlineLevel="0" collapsed="false">
      <c r="A26" s="4" t="s">
        <v>135</v>
      </c>
      <c r="B26" s="7" t="str">
        <f aca="false">INDEX(Library!$B$5:$B$34,MATCH(A26,Library!$A$5:$A$34,0))</f>
        <v>Exposed 160 CLT floor, 50 screed on top</v>
      </c>
      <c r="C26" s="7" t="str">
        <f aca="false">Engine!C698</f>
        <v>D</v>
      </c>
      <c r="D26" s="13" t="str">
        <f aca="false">Engine!B712</f>
        <v>–</v>
      </c>
      <c r="E26" s="13" t="n">
        <f aca="false">Engine!D712</f>
        <v>4.23939338183002</v>
      </c>
      <c r="F26" s="14" t="n">
        <f aca="false">Engine!F712</f>
        <v>1.82353927655929</v>
      </c>
      <c r="G26" s="13" t="str">
        <f aca="false">Engine!H712</f>
        <v>–</v>
      </c>
      <c r="H26" s="14" t="str">
        <f aca="false">Engine!J712</f>
        <v>–</v>
      </c>
      <c r="I26" s="15" t="n">
        <f aca="false">Engine!L712</f>
        <v>60.6517674262608</v>
      </c>
      <c r="J26" s="15" t="n">
        <f aca="false">Engine!N712</f>
        <v>220.32</v>
      </c>
      <c r="K26" s="13" t="n">
        <f aca="false">Engine!B728</f>
        <v>2.83677001607367</v>
      </c>
      <c r="L26" s="13" t="n">
        <f aca="false">K26/E26</f>
        <v>0.669145266922393</v>
      </c>
      <c r="M26" s="23" t="n">
        <v>4.239</v>
      </c>
      <c r="N26" s="23" t="n">
        <v>2.837</v>
      </c>
    </row>
    <row r="27" customFormat="false" ht="15" hidden="false" customHeight="false" outlineLevel="0" collapsed="false">
      <c r="A27" s="4" t="s">
        <v>138</v>
      </c>
      <c r="B27" s="7" t="str">
        <f aca="false">INDEX(Library!$B$5:$B$34,MATCH(A27,Library!$A$5:$A$34,0))</f>
        <v>Stud partition: 12.5 board each side (half)</v>
      </c>
      <c r="C27" s="7" t="str">
        <f aca="false">Engine!C731</f>
        <v>D</v>
      </c>
      <c r="D27" s="13" t="str">
        <f aca="false">Engine!B745</f>
        <v>–</v>
      </c>
      <c r="E27" s="13" t="n">
        <f aca="false">Engine!D745</f>
        <v>0.63342503768563</v>
      </c>
      <c r="F27" s="14" t="n">
        <f aca="false">Engine!F745</f>
        <v>5.63690612682792</v>
      </c>
      <c r="G27" s="13" t="str">
        <f aca="false">Engine!H745</f>
        <v>–</v>
      </c>
      <c r="H27" s="14" t="str">
        <f aca="false">Engine!J745</f>
        <v>–</v>
      </c>
      <c r="I27" s="15" t="n">
        <f aca="false">Engine!L745</f>
        <v>8.71021959775104</v>
      </c>
      <c r="J27" s="15" t="n">
        <f aca="false">Engine!N745</f>
        <v>8.75</v>
      </c>
      <c r="K27" s="13" t="n">
        <f aca="false">Engine!B761</f>
        <v>0.632192512519788</v>
      </c>
      <c r="L27" s="13" t="n">
        <f aca="false">K27/E27</f>
        <v>0.998054189379148</v>
      </c>
      <c r="M27" s="23" t="n">
        <v>0.633</v>
      </c>
      <c r="N27" s="23" t="n">
        <v>0.632</v>
      </c>
    </row>
    <row r="28" customFormat="false" ht="15" hidden="false" customHeight="false" outlineLevel="0" collapsed="false">
      <c r="A28" s="4" t="s">
        <v>141</v>
      </c>
      <c r="B28" s="7" t="str">
        <f aca="false">INDEX(Library!$B$5:$B$34,MATCH(A28,Library!$A$5:$A$34,0))</f>
        <v>100 dense block, wet plaster both sides (half)</v>
      </c>
      <c r="C28" s="7" t="str">
        <f aca="false">Engine!C764</f>
        <v>D</v>
      </c>
      <c r="D28" s="13" t="str">
        <f aca="false">Engine!B778</f>
        <v>–</v>
      </c>
      <c r="E28" s="13" t="n">
        <f aca="false">Engine!D778</f>
        <v>4.95806683436552</v>
      </c>
      <c r="F28" s="14" t="n">
        <f aca="false">Engine!F778</f>
        <v>2.39982525141484</v>
      </c>
      <c r="G28" s="13" t="str">
        <f aca="false">Engine!H778</f>
        <v>–</v>
      </c>
      <c r="H28" s="14" t="str">
        <f aca="false">Engine!J778</f>
        <v>–</v>
      </c>
      <c r="I28" s="15" t="n">
        <f aca="false">Engine!L778</f>
        <v>68.1783136650577</v>
      </c>
      <c r="J28" s="15" t="n">
        <f aca="false">Engine!N778</f>
        <v>116.9</v>
      </c>
      <c r="K28" s="13" t="n">
        <f aca="false">Engine!B794</f>
        <v>5.19239324705858</v>
      </c>
      <c r="L28" s="13" t="n">
        <f aca="false">K28/E28</f>
        <v>1.04726164864679</v>
      </c>
      <c r="M28" s="23" t="n">
        <v>4.958</v>
      </c>
      <c r="N28" s="23" t="n">
        <v>5.192</v>
      </c>
    </row>
    <row r="29" customFormat="false" ht="15" hidden="false" customHeight="false" outlineLevel="0" collapsed="false">
      <c r="A29" s="4" t="s">
        <v>144</v>
      </c>
      <c r="B29" s="7" t="str">
        <f aca="false">INDEX(Library!$B$5:$B$34,MATCH(A29,Library!$A$5:$A$34,0))</f>
        <v>100 aircrete, wet plaster both sides (half)</v>
      </c>
      <c r="C29" s="7" t="str">
        <f aca="false">Engine!C797</f>
        <v>D</v>
      </c>
      <c r="D29" s="13" t="str">
        <f aca="false">Engine!B811</f>
        <v>–</v>
      </c>
      <c r="E29" s="13" t="n">
        <f aca="false">Engine!D811</f>
        <v>2.80394013077802</v>
      </c>
      <c r="F29" s="14" t="n">
        <f aca="false">Engine!F811</f>
        <v>3.82647993764214</v>
      </c>
      <c r="G29" s="13" t="str">
        <f aca="false">Engine!H811</f>
        <v>–</v>
      </c>
      <c r="H29" s="14" t="str">
        <f aca="false">Engine!J811</f>
        <v>–</v>
      </c>
      <c r="I29" s="15" t="n">
        <f aca="false">Engine!L811</f>
        <v>38.5569469546684</v>
      </c>
      <c r="J29" s="15" t="n">
        <f aca="false">Engine!N811</f>
        <v>46.9</v>
      </c>
      <c r="K29" s="13" t="n">
        <f aca="false">Engine!B827</f>
        <v>2.57561660896938</v>
      </c>
      <c r="L29" s="13" t="n">
        <f aca="false">K29/E29</f>
        <v>0.918570471850522</v>
      </c>
      <c r="M29" s="23" t="n">
        <v>2.804</v>
      </c>
      <c r="N29" s="23" t="n">
        <v>2.576</v>
      </c>
    </row>
    <row r="30" customFormat="false" ht="15" hidden="false" customHeight="false" outlineLevel="0" collapsed="false">
      <c r="A30" s="4" t="s">
        <v>147</v>
      </c>
      <c r="B30" s="7" t="str">
        <f aca="false">INDEX(Library!$B$5:$B$34,MATCH(A30,Library!$A$5:$A$34,0))</f>
        <v>Party wall: plaster, 100 dense block leaf (cavity behind)</v>
      </c>
      <c r="C30" s="7" t="str">
        <f aca="false">Engine!C830</f>
        <v>D</v>
      </c>
      <c r="D30" s="13" t="str">
        <f aca="false">Engine!B844</f>
        <v>–</v>
      </c>
      <c r="E30" s="13" t="n">
        <f aca="false">Engine!D844</f>
        <v>5.2402726781912</v>
      </c>
      <c r="F30" s="14" t="n">
        <f aca="false">Engine!F844</f>
        <v>1.37677243722032</v>
      </c>
      <c r="G30" s="13" t="str">
        <f aca="false">Engine!H844</f>
        <v>–</v>
      </c>
      <c r="H30" s="14" t="str">
        <f aca="false">Engine!J844</f>
        <v>–</v>
      </c>
      <c r="I30" s="15" t="n">
        <f aca="false">Engine!L844</f>
        <v>72.0589230774256</v>
      </c>
      <c r="J30" s="15" t="n">
        <f aca="false">Engine!N844</f>
        <v>216.9</v>
      </c>
      <c r="K30" s="13" t="n">
        <f aca="false">Engine!B860</f>
        <v>5.6205015344825</v>
      </c>
      <c r="L30" s="13" t="n">
        <f aca="false">K30/E30</f>
        <v>1.07255898302272</v>
      </c>
      <c r="M30" s="23" t="n">
        <v>5.24</v>
      </c>
      <c r="N30" s="23" t="n">
        <v>5.621</v>
      </c>
    </row>
    <row r="31" customFormat="false" ht="15" hidden="false" customHeight="false" outlineLevel="0" collapsed="false">
      <c r="A31" s="4" t="s">
        <v>150</v>
      </c>
      <c r="B31" s="7" t="str">
        <f aca="false">INDEX(Library!$B$5:$B$34,MATCH(A31,Library!$A$5:$A$34,0))</f>
        <v>Party wall: board, 90 MW studs (timber frame twin stud)</v>
      </c>
      <c r="C31" s="7" t="str">
        <f aca="false">Engine!C863</f>
        <v>I</v>
      </c>
      <c r="D31" s="13" t="str">
        <f aca="false">Engine!B877</f>
        <v>–</v>
      </c>
      <c r="E31" s="13" t="n">
        <f aca="false">Engine!D877</f>
        <v>1.56850193744335</v>
      </c>
      <c r="F31" s="14" t="n">
        <f aca="false">Engine!F877</f>
        <v>4.58342516188638</v>
      </c>
      <c r="G31" s="13" t="str">
        <f aca="false">Engine!H877</f>
        <v>–</v>
      </c>
      <c r="H31" s="14" t="str">
        <f aca="false">Engine!J877</f>
        <v>–</v>
      </c>
      <c r="I31" s="15" t="n">
        <f aca="false">Engine!L877</f>
        <v>21.5684550671721</v>
      </c>
      <c r="J31" s="15" t="n">
        <f aca="false">Engine!N877</f>
        <v>23.98</v>
      </c>
      <c r="K31" s="13" t="n">
        <f aca="false">Engine!B893</f>
        <v>1.70071829754946</v>
      </c>
      <c r="L31" s="13" t="n">
        <f aca="false">K31/E31</f>
        <v>1.08429467439589</v>
      </c>
      <c r="M31" s="23" t="n">
        <v>1.569</v>
      </c>
      <c r="N31" s="23" t="n">
        <v>1.701</v>
      </c>
    </row>
    <row r="32" customFormat="false" ht="15" hidden="false" customHeight="false" outlineLevel="0" collapsed="false">
      <c r="A32" s="4" t="s">
        <v>153</v>
      </c>
      <c r="B32" s="7" t="str">
        <f aca="false">INDEX(Library!$B$5:$B$34,MATCH(A32,Library!$A$5:$A$34,0))</f>
        <v>12.5 board ceiling under 300 MW (cold loft)</v>
      </c>
      <c r="C32" s="7" t="str">
        <f aca="false">Engine!C896</f>
        <v>D</v>
      </c>
      <c r="D32" s="13" t="n">
        <f aca="false">Engine!B910</f>
        <v>0.114012704272762</v>
      </c>
      <c r="E32" s="13" t="n">
        <f aca="false">Engine!D910</f>
        <v>0.819239327527862</v>
      </c>
      <c r="F32" s="14" t="n">
        <f aca="false">Engine!F910</f>
        <v>4.78586751033912</v>
      </c>
      <c r="G32" s="13" t="n">
        <f aca="false">Engine!H910</f>
        <v>0.835641913525636</v>
      </c>
      <c r="H32" s="14" t="n">
        <f aca="false">Engine!J910</f>
        <v>3.90853945592282</v>
      </c>
      <c r="I32" s="15" t="n">
        <f aca="false">Engine!L910</f>
        <v>12.1557305729396</v>
      </c>
      <c r="J32" s="15" t="n">
        <f aca="false">Engine!N910</f>
        <v>18.02</v>
      </c>
      <c r="K32" s="13" t="n">
        <f aca="false">Engine!B926</f>
        <v>0.437758060103536</v>
      </c>
      <c r="L32" s="13" t="n">
        <f aca="false">K32/E32</f>
        <v>0.534346979440691</v>
      </c>
      <c r="M32" s="23" t="n">
        <v>0.819</v>
      </c>
      <c r="N32" s="23" t="n">
        <v>0.438</v>
      </c>
    </row>
    <row r="33" customFormat="false" ht="15" hidden="false" customHeight="false" outlineLevel="0" collapsed="false">
      <c r="A33" s="4" t="s">
        <v>156</v>
      </c>
      <c r="B33" s="7" t="str">
        <f aca="false">INDEX(Library!$B$5:$B$34,MATCH(A33,Library!$A$5:$A$34,0))</f>
        <v>Exposed 200 concrete roof slab, 150 PIR</v>
      </c>
      <c r="C33" s="7" t="str">
        <f aca="false">Engine!C929</f>
        <v>I</v>
      </c>
      <c r="D33" s="13" t="n">
        <f aca="false">Engine!B943</f>
        <v>0.141679546625451</v>
      </c>
      <c r="E33" s="13" t="n">
        <f aca="false">Engine!D943</f>
        <v>7.35577720224427</v>
      </c>
      <c r="F33" s="14" t="n">
        <f aca="false">Engine!F943</f>
        <v>1.01421353326281</v>
      </c>
      <c r="G33" s="13" t="n">
        <f aca="false">Engine!H943</f>
        <v>0.190887408744984</v>
      </c>
      <c r="H33" s="14" t="n">
        <f aca="false">Engine!J943</f>
        <v>9.11966915050912</v>
      </c>
      <c r="I33" s="15" t="n">
        <f aca="false">Engine!L943</f>
        <v>101.477734779041</v>
      </c>
      <c r="J33" s="15" t="n">
        <f aca="false">Engine!N943</f>
        <v>486.3</v>
      </c>
      <c r="K33" s="13" t="n">
        <f aca="false">Engine!B959</f>
        <v>9.61247726408989</v>
      </c>
      <c r="L33" s="13" t="n">
        <f aca="false">K33/E33</f>
        <v>1.30679287854954</v>
      </c>
      <c r="M33" s="23" t="n">
        <v>7.356</v>
      </c>
      <c r="N33" s="23" t="n">
        <v>9.612</v>
      </c>
    </row>
    <row r="34" customFormat="false" ht="15" hidden="false" customHeight="false" outlineLevel="0" collapsed="false">
      <c r="A34" s="4" t="s">
        <v>159</v>
      </c>
      <c r="B34" s="7" t="str">
        <f aca="false">INDEX(Library!$B$5:$B$34,MATCH(A34,Library!$A$5:$A$34,0))</f>
        <v>Your build-up (edit this row)</v>
      </c>
      <c r="C34" s="7" t="str">
        <f aca="false">Engine!C962</f>
        <v>IE</v>
      </c>
      <c r="D34" s="13" t="n">
        <f aca="false">Engine!B976</f>
        <v>0.212644822586131</v>
      </c>
      <c r="E34" s="13" t="n">
        <f aca="false">Engine!D976</f>
        <v>5.21334481066688</v>
      </c>
      <c r="F34" s="14" t="n">
        <f aca="false">Engine!F976</f>
        <v>1.37068976369534</v>
      </c>
      <c r="G34" s="13" t="n">
        <f aca="false">Engine!H976</f>
        <v>0.249209498438484</v>
      </c>
      <c r="H34" s="14" t="n">
        <f aca="false">Engine!J976</f>
        <v>9.93221936308962</v>
      </c>
      <c r="I34" s="15" t="n">
        <f aca="false">Engine!L976</f>
        <v>72.4053641522981</v>
      </c>
      <c r="J34" s="15" t="n">
        <f aca="false">Engine!N976</f>
        <v>360.255</v>
      </c>
      <c r="K34" s="13" t="n">
        <f aca="false">Engine!B992</f>
        <v>6.58559709675401</v>
      </c>
      <c r="L34" s="13" t="n">
        <f aca="false">K34/E34</f>
        <v>1.26321916848458</v>
      </c>
    </row>
  </sheetData>
  <conditionalFormatting sqref="L5:L34">
    <cfRule type="colorScale" priority="2">
      <colorScale>
        <cfvo type="num" val="0.3"/>
        <cfvo type="num" val="1"/>
        <cfvo type="num" val="2.5"/>
        <color rgb="FF5B9BD5"/>
        <color rgb="FFFFFFFF"/>
        <color rgb="FFE46C0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4" min="3" style="0" width="10"/>
    <col collapsed="false" customWidth="true" hidden="false" outlineLevel="0" max="6" min="5" style="0" width="7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20"/>
    <col collapsed="false" customWidth="true" hidden="false" outlineLevel="0" max="10" min="10" style="0" width="8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20"/>
    <col collapsed="false" customWidth="true" hidden="false" outlineLevel="0" max="14" min="14" style="0" width="8"/>
    <col collapsed="false" customWidth="true" hidden="false" outlineLevel="0" max="15" min="15" style="0" width="20"/>
    <col collapsed="false" customWidth="true" hidden="false" outlineLevel="0" max="16" min="16" style="0" width="8"/>
    <col collapsed="false" customWidth="true" hidden="false" outlineLevel="0" max="17" min="17" style="0" width="20"/>
    <col collapsed="false" customWidth="true" hidden="false" outlineLevel="0" max="18" min="18" style="0" width="8"/>
    <col collapsed="false" customWidth="true" hidden="false" outlineLevel="0" max="19" min="19" style="0" width="20"/>
    <col collapsed="false" customWidth="true" hidden="false" outlineLevel="0" max="20" min="20" style="0" width="8"/>
    <col collapsed="false" customWidth="true" hidden="false" outlineLevel="0" max="21" min="21" style="0" width="20"/>
    <col collapsed="false" customWidth="true" hidden="false" outlineLevel="0" max="22" min="22" style="0" width="8"/>
  </cols>
  <sheetData>
    <row r="1" customFormat="false" ht="17.35" hidden="false" customHeight="false" outlineLevel="0" collapsed="false">
      <c r="A1" s="1" t="s">
        <v>198</v>
      </c>
    </row>
    <row r="2" customFormat="false" ht="15" hidden="false" customHeight="false" outlineLevel="0" collapsed="false">
      <c r="A2" s="17" t="s">
        <v>199</v>
      </c>
    </row>
    <row r="4" customFormat="false" ht="30" hidden="false" customHeight="true" outlineLevel="0" collapsed="false">
      <c r="A4" s="22" t="s">
        <v>188</v>
      </c>
      <c r="B4" s="22" t="s">
        <v>189</v>
      </c>
      <c r="C4" s="22" t="s">
        <v>62</v>
      </c>
      <c r="D4" s="22" t="s">
        <v>200</v>
      </c>
      <c r="E4" s="22" t="s">
        <v>22</v>
      </c>
      <c r="F4" s="22" t="s">
        <v>201</v>
      </c>
      <c r="G4" s="22" t="s">
        <v>43</v>
      </c>
      <c r="H4" s="22" t="s">
        <v>202</v>
      </c>
      <c r="I4" s="22" t="s">
        <v>44</v>
      </c>
      <c r="J4" s="22" t="s">
        <v>202</v>
      </c>
      <c r="K4" s="22" t="s">
        <v>45</v>
      </c>
      <c r="L4" s="22" t="s">
        <v>202</v>
      </c>
      <c r="M4" s="22" t="s">
        <v>46</v>
      </c>
      <c r="N4" s="22" t="s">
        <v>202</v>
      </c>
      <c r="O4" s="22" t="s">
        <v>47</v>
      </c>
      <c r="P4" s="22" t="s">
        <v>202</v>
      </c>
      <c r="Q4" s="22" t="s">
        <v>48</v>
      </c>
      <c r="R4" s="22" t="s">
        <v>202</v>
      </c>
      <c r="S4" s="22" t="s">
        <v>49</v>
      </c>
      <c r="T4" s="22" t="s">
        <v>202</v>
      </c>
      <c r="U4" s="22" t="s">
        <v>50</v>
      </c>
      <c r="V4" s="22" t="s">
        <v>202</v>
      </c>
    </row>
    <row r="5" customFormat="false" ht="15" hidden="false" customHeight="false" outlineLevel="0" collapsed="false">
      <c r="A5" s="7" t="s">
        <v>17</v>
      </c>
      <c r="B5" s="7" t="s">
        <v>203</v>
      </c>
      <c r="C5" s="7" t="s">
        <v>204</v>
      </c>
      <c r="D5" s="7" t="s">
        <v>205</v>
      </c>
      <c r="E5" s="7" t="n">
        <v>0.13</v>
      </c>
      <c r="F5" s="7" t="s">
        <v>177</v>
      </c>
      <c r="G5" s="7" t="s">
        <v>206</v>
      </c>
      <c r="H5" s="7" t="n">
        <v>13</v>
      </c>
      <c r="I5" s="7" t="s">
        <v>207</v>
      </c>
      <c r="J5" s="7" t="n">
        <v>100</v>
      </c>
      <c r="K5" s="7" t="s">
        <v>208</v>
      </c>
      <c r="L5" s="7" t="n">
        <v>150</v>
      </c>
      <c r="M5" s="7" t="s">
        <v>209</v>
      </c>
      <c r="N5" s="7" t="n">
        <v>102</v>
      </c>
    </row>
    <row r="6" customFormat="false" ht="15" hidden="false" customHeight="false" outlineLevel="0" collapsed="false">
      <c r="A6" s="7" t="s">
        <v>75</v>
      </c>
      <c r="B6" s="7" t="s">
        <v>210</v>
      </c>
      <c r="C6" s="7" t="s">
        <v>204</v>
      </c>
      <c r="D6" s="7" t="s">
        <v>205</v>
      </c>
      <c r="E6" s="7" t="n">
        <v>0.13</v>
      </c>
      <c r="F6" s="7" t="s">
        <v>177</v>
      </c>
      <c r="G6" s="7" t="s">
        <v>211</v>
      </c>
      <c r="H6" s="7" t="n">
        <v>12.5</v>
      </c>
      <c r="I6" s="7" t="s">
        <v>212</v>
      </c>
      <c r="J6" s="7" t="n">
        <v>0.1</v>
      </c>
      <c r="K6" s="7" t="s">
        <v>207</v>
      </c>
      <c r="L6" s="7" t="n">
        <v>100</v>
      </c>
      <c r="M6" s="7" t="s">
        <v>208</v>
      </c>
      <c r="N6" s="7" t="n">
        <v>150</v>
      </c>
      <c r="O6" s="7" t="s">
        <v>209</v>
      </c>
      <c r="P6" s="7" t="n">
        <v>102</v>
      </c>
    </row>
    <row r="7" customFormat="false" ht="15" hidden="false" customHeight="false" outlineLevel="0" collapsed="false">
      <c r="A7" s="7" t="s">
        <v>78</v>
      </c>
      <c r="B7" s="7" t="s">
        <v>213</v>
      </c>
      <c r="C7" s="7" t="s">
        <v>204</v>
      </c>
      <c r="D7" s="7" t="s">
        <v>205</v>
      </c>
      <c r="E7" s="7" t="n">
        <v>0.13</v>
      </c>
      <c r="F7" s="7" t="s">
        <v>177</v>
      </c>
      <c r="G7" s="7" t="s">
        <v>206</v>
      </c>
      <c r="H7" s="7" t="n">
        <v>13</v>
      </c>
      <c r="I7" s="7" t="s">
        <v>214</v>
      </c>
      <c r="J7" s="7" t="n">
        <v>100</v>
      </c>
      <c r="K7" s="7" t="s">
        <v>208</v>
      </c>
      <c r="L7" s="7" t="n">
        <v>150</v>
      </c>
      <c r="M7" s="7" t="s">
        <v>209</v>
      </c>
      <c r="N7" s="7" t="n">
        <v>102</v>
      </c>
    </row>
    <row r="8" customFormat="false" ht="15" hidden="false" customHeight="false" outlineLevel="0" collapsed="false">
      <c r="A8" s="7" t="s">
        <v>81</v>
      </c>
      <c r="B8" s="7" t="s">
        <v>215</v>
      </c>
      <c r="C8" s="7" t="s">
        <v>204</v>
      </c>
      <c r="D8" s="7" t="s">
        <v>205</v>
      </c>
      <c r="E8" s="7" t="n">
        <v>0.13</v>
      </c>
      <c r="F8" s="7" t="s">
        <v>177</v>
      </c>
      <c r="G8" s="7" t="s">
        <v>211</v>
      </c>
      <c r="H8" s="7" t="n">
        <v>12.5</v>
      </c>
      <c r="I8" s="7" t="s">
        <v>212</v>
      </c>
      <c r="J8" s="7" t="n">
        <v>0.1</v>
      </c>
      <c r="K8" s="7" t="s">
        <v>214</v>
      </c>
      <c r="L8" s="7" t="n">
        <v>100</v>
      </c>
      <c r="M8" s="7" t="s">
        <v>208</v>
      </c>
      <c r="N8" s="7" t="n">
        <v>150</v>
      </c>
      <c r="O8" s="7" t="s">
        <v>209</v>
      </c>
      <c r="P8" s="7" t="n">
        <v>102</v>
      </c>
    </row>
    <row r="9" customFormat="false" ht="15" hidden="false" customHeight="false" outlineLevel="0" collapsed="false">
      <c r="A9" s="7" t="s">
        <v>84</v>
      </c>
      <c r="B9" s="7" t="s">
        <v>216</v>
      </c>
      <c r="C9" s="7" t="s">
        <v>204</v>
      </c>
      <c r="D9" s="7" t="s">
        <v>205</v>
      </c>
      <c r="E9" s="7" t="n">
        <v>0.13</v>
      </c>
      <c r="F9" s="7" t="s">
        <v>176</v>
      </c>
      <c r="G9" s="7" t="s">
        <v>211</v>
      </c>
      <c r="H9" s="7" t="n">
        <v>12.5</v>
      </c>
      <c r="I9" s="7" t="s">
        <v>217</v>
      </c>
      <c r="J9" s="7" t="n">
        <v>140</v>
      </c>
      <c r="K9" s="7" t="s">
        <v>218</v>
      </c>
      <c r="L9" s="7" t="n">
        <v>9</v>
      </c>
      <c r="M9" s="7" t="s">
        <v>212</v>
      </c>
      <c r="N9" s="7" t="n">
        <v>0.18</v>
      </c>
      <c r="O9" s="7" t="s">
        <v>209</v>
      </c>
      <c r="P9" s="7" t="n">
        <v>102</v>
      </c>
    </row>
    <row r="10" customFormat="false" ht="15" hidden="false" customHeight="false" outlineLevel="0" collapsed="false">
      <c r="A10" s="7" t="s">
        <v>87</v>
      </c>
      <c r="B10" s="7" t="s">
        <v>219</v>
      </c>
      <c r="C10" s="7" t="s">
        <v>204</v>
      </c>
      <c r="D10" s="7" t="s">
        <v>205</v>
      </c>
      <c r="E10" s="7" t="n">
        <v>0.13</v>
      </c>
      <c r="F10" s="7" t="s">
        <v>178</v>
      </c>
      <c r="G10" s="7" t="s">
        <v>211</v>
      </c>
      <c r="H10" s="7" t="n">
        <v>12.5</v>
      </c>
      <c r="I10" s="7" t="s">
        <v>217</v>
      </c>
      <c r="J10" s="7" t="n">
        <v>140</v>
      </c>
      <c r="K10" s="7" t="s">
        <v>220</v>
      </c>
      <c r="L10" s="7" t="n">
        <v>60</v>
      </c>
      <c r="M10" s="7" t="s">
        <v>221</v>
      </c>
      <c r="N10" s="7" t="n">
        <v>10</v>
      </c>
    </row>
    <row r="11" customFormat="false" ht="15" hidden="false" customHeight="false" outlineLevel="0" collapsed="false">
      <c r="A11" s="7" t="s">
        <v>90</v>
      </c>
      <c r="B11" s="7" t="s">
        <v>222</v>
      </c>
      <c r="C11" s="7" t="s">
        <v>204</v>
      </c>
      <c r="D11" s="7" t="s">
        <v>205</v>
      </c>
      <c r="E11" s="7" t="n">
        <v>0.13</v>
      </c>
      <c r="F11" s="7" t="s">
        <v>177</v>
      </c>
      <c r="G11" s="7" t="s">
        <v>211</v>
      </c>
      <c r="H11" s="7" t="n">
        <v>12.5</v>
      </c>
      <c r="I11" s="7" t="s">
        <v>212</v>
      </c>
      <c r="J11" s="7" t="n">
        <v>0.17</v>
      </c>
      <c r="K11" s="7" t="s">
        <v>218</v>
      </c>
      <c r="L11" s="7" t="n">
        <v>15</v>
      </c>
      <c r="M11" s="7" t="s">
        <v>223</v>
      </c>
      <c r="N11" s="7" t="n">
        <v>142</v>
      </c>
      <c r="O11" s="7" t="s">
        <v>218</v>
      </c>
      <c r="P11" s="7" t="n">
        <v>15</v>
      </c>
    </row>
    <row r="12" customFormat="false" ht="15" hidden="false" customHeight="false" outlineLevel="0" collapsed="false">
      <c r="A12" s="7" t="s">
        <v>93</v>
      </c>
      <c r="B12" s="7" t="s">
        <v>224</v>
      </c>
      <c r="C12" s="7" t="s">
        <v>204</v>
      </c>
      <c r="D12" s="7" t="s">
        <v>205</v>
      </c>
      <c r="E12" s="7" t="n">
        <v>0.13</v>
      </c>
      <c r="F12" s="7" t="s">
        <v>175</v>
      </c>
      <c r="G12" s="7" t="s">
        <v>225</v>
      </c>
      <c r="H12" s="7" t="n">
        <v>100</v>
      </c>
      <c r="I12" s="7" t="s">
        <v>220</v>
      </c>
      <c r="J12" s="7" t="n">
        <v>160</v>
      </c>
      <c r="K12" s="7" t="s">
        <v>221</v>
      </c>
      <c r="L12" s="7" t="n">
        <v>10</v>
      </c>
    </row>
    <row r="13" customFormat="false" ht="15" hidden="false" customHeight="false" outlineLevel="0" collapsed="false">
      <c r="A13" s="7" t="s">
        <v>96</v>
      </c>
      <c r="B13" s="7" t="s">
        <v>226</v>
      </c>
      <c r="C13" s="7" t="s">
        <v>204</v>
      </c>
      <c r="D13" s="7" t="s">
        <v>205</v>
      </c>
      <c r="E13" s="7" t="n">
        <v>0.13</v>
      </c>
      <c r="F13" s="7" t="s">
        <v>175</v>
      </c>
      <c r="G13" s="7" t="s">
        <v>211</v>
      </c>
      <c r="H13" s="7" t="n">
        <v>12.5</v>
      </c>
      <c r="I13" s="7" t="s">
        <v>212</v>
      </c>
      <c r="J13" s="7" t="n">
        <v>0.17</v>
      </c>
      <c r="K13" s="7" t="s">
        <v>225</v>
      </c>
      <c r="L13" s="7" t="n">
        <v>100</v>
      </c>
      <c r="M13" s="7" t="s">
        <v>208</v>
      </c>
      <c r="N13" s="7" t="n">
        <v>160</v>
      </c>
    </row>
    <row r="14" customFormat="false" ht="15" hidden="false" customHeight="false" outlineLevel="0" collapsed="false">
      <c r="A14" s="7" t="s">
        <v>99</v>
      </c>
      <c r="B14" s="7" t="s">
        <v>227</v>
      </c>
      <c r="C14" s="7" t="s">
        <v>204</v>
      </c>
      <c r="D14" s="7" t="s">
        <v>205</v>
      </c>
      <c r="E14" s="7" t="n">
        <v>0.13</v>
      </c>
      <c r="F14" s="7" t="s">
        <v>179</v>
      </c>
      <c r="G14" s="7" t="s">
        <v>211</v>
      </c>
      <c r="H14" s="7" t="n">
        <v>12.5</v>
      </c>
      <c r="I14" s="7" t="s">
        <v>212</v>
      </c>
      <c r="J14" s="7" t="n">
        <v>0.1</v>
      </c>
      <c r="K14" s="7" t="s">
        <v>228</v>
      </c>
      <c r="L14" s="7" t="n">
        <v>70</v>
      </c>
      <c r="M14" s="7" t="s">
        <v>229</v>
      </c>
      <c r="N14" s="7" t="n">
        <v>150</v>
      </c>
      <c r="O14" s="7" t="s">
        <v>228</v>
      </c>
      <c r="P14" s="7" t="n">
        <v>70</v>
      </c>
      <c r="Q14" s="7" t="s">
        <v>221</v>
      </c>
      <c r="R14" s="7" t="n">
        <v>10</v>
      </c>
    </row>
    <row r="15" customFormat="false" ht="15" hidden="false" customHeight="false" outlineLevel="0" collapsed="false">
      <c r="A15" s="7" t="s">
        <v>102</v>
      </c>
      <c r="B15" s="7" t="s">
        <v>230</v>
      </c>
      <c r="C15" s="7" t="s">
        <v>204</v>
      </c>
      <c r="D15" s="7" t="s">
        <v>205</v>
      </c>
      <c r="E15" s="7" t="n">
        <v>0.13</v>
      </c>
      <c r="F15" s="7" t="s">
        <v>178</v>
      </c>
      <c r="G15" s="7" t="s">
        <v>206</v>
      </c>
      <c r="H15" s="7" t="n">
        <v>13</v>
      </c>
      <c r="I15" s="7" t="s">
        <v>209</v>
      </c>
      <c r="J15" s="7" t="n">
        <v>215</v>
      </c>
    </row>
    <row r="16" customFormat="false" ht="15" hidden="false" customHeight="false" outlineLevel="0" collapsed="false">
      <c r="A16" s="7" t="s">
        <v>105</v>
      </c>
      <c r="B16" s="7" t="s">
        <v>231</v>
      </c>
      <c r="C16" s="7" t="s">
        <v>204</v>
      </c>
      <c r="D16" s="7" t="s">
        <v>205</v>
      </c>
      <c r="E16" s="7" t="n">
        <v>0.13</v>
      </c>
      <c r="F16" s="7" t="s">
        <v>176</v>
      </c>
      <c r="G16" s="7" t="s">
        <v>211</v>
      </c>
      <c r="H16" s="7" t="n">
        <v>12.5</v>
      </c>
      <c r="I16" s="7" t="s">
        <v>223</v>
      </c>
      <c r="J16" s="7" t="n">
        <v>80</v>
      </c>
      <c r="K16" s="7" t="s">
        <v>209</v>
      </c>
      <c r="L16" s="7" t="n">
        <v>215</v>
      </c>
    </row>
    <row r="17" customFormat="false" ht="15" hidden="false" customHeight="false" outlineLevel="0" collapsed="false">
      <c r="A17" s="7" t="s">
        <v>108</v>
      </c>
      <c r="B17" s="7" t="s">
        <v>232</v>
      </c>
      <c r="C17" s="7" t="s">
        <v>204</v>
      </c>
      <c r="D17" s="7" t="s">
        <v>205</v>
      </c>
      <c r="E17" s="7" t="n">
        <v>0.13</v>
      </c>
      <c r="F17" s="7" t="s">
        <v>175</v>
      </c>
      <c r="G17" s="7" t="s">
        <v>206</v>
      </c>
      <c r="H17" s="7" t="n">
        <v>13</v>
      </c>
      <c r="I17" s="7" t="s">
        <v>209</v>
      </c>
      <c r="J17" s="7" t="n">
        <v>215</v>
      </c>
      <c r="K17" s="7" t="s">
        <v>228</v>
      </c>
      <c r="L17" s="7" t="n">
        <v>100</v>
      </c>
      <c r="M17" s="7" t="s">
        <v>221</v>
      </c>
      <c r="N17" s="7" t="n">
        <v>10</v>
      </c>
    </row>
    <row r="18" customFormat="false" ht="15" hidden="false" customHeight="false" outlineLevel="0" collapsed="false">
      <c r="A18" s="7" t="s">
        <v>111</v>
      </c>
      <c r="B18" s="7" t="s">
        <v>233</v>
      </c>
      <c r="C18" s="7" t="s">
        <v>204</v>
      </c>
      <c r="D18" s="7" t="s">
        <v>205</v>
      </c>
      <c r="E18" s="7" t="n">
        <v>0.13</v>
      </c>
      <c r="F18" s="7" t="s">
        <v>178</v>
      </c>
      <c r="G18" s="7" t="s">
        <v>234</v>
      </c>
      <c r="H18" s="7" t="n">
        <v>15</v>
      </c>
      <c r="I18" s="7" t="s">
        <v>235</v>
      </c>
      <c r="J18" s="7" t="n">
        <v>300</v>
      </c>
      <c r="K18" s="7" t="s">
        <v>221</v>
      </c>
      <c r="L18" s="7" t="n">
        <v>15</v>
      </c>
    </row>
    <row r="19" customFormat="false" ht="15" hidden="false" customHeight="false" outlineLevel="0" collapsed="false">
      <c r="A19" s="7" t="s">
        <v>114</v>
      </c>
      <c r="B19" s="7" t="s">
        <v>236</v>
      </c>
      <c r="C19" s="7" t="s">
        <v>204</v>
      </c>
      <c r="D19" s="7" t="s">
        <v>205</v>
      </c>
      <c r="E19" s="7" t="n">
        <v>0.13</v>
      </c>
      <c r="F19" s="7" t="s">
        <v>175</v>
      </c>
      <c r="G19" s="7" t="s">
        <v>237</v>
      </c>
      <c r="H19" s="7" t="n">
        <v>300</v>
      </c>
      <c r="I19" s="7" t="s">
        <v>220</v>
      </c>
      <c r="J19" s="7" t="n">
        <v>120</v>
      </c>
      <c r="K19" s="7" t="s">
        <v>221</v>
      </c>
      <c r="L19" s="7" t="n">
        <v>10</v>
      </c>
    </row>
    <row r="20" customFormat="false" ht="15" hidden="false" customHeight="false" outlineLevel="0" collapsed="false">
      <c r="A20" s="7" t="s">
        <v>117</v>
      </c>
      <c r="B20" s="7" t="s">
        <v>238</v>
      </c>
      <c r="C20" s="7" t="s">
        <v>239</v>
      </c>
      <c r="D20" s="7" t="s">
        <v>240</v>
      </c>
      <c r="E20" s="7" t="n">
        <v>0.17</v>
      </c>
      <c r="F20" s="7" t="s">
        <v>177</v>
      </c>
      <c r="G20" s="7" t="s">
        <v>241</v>
      </c>
      <c r="H20" s="7" t="n">
        <v>65</v>
      </c>
      <c r="I20" s="7" t="s">
        <v>223</v>
      </c>
      <c r="J20" s="7" t="n">
        <v>100</v>
      </c>
      <c r="K20" s="7" t="s">
        <v>229</v>
      </c>
      <c r="L20" s="7" t="n">
        <v>100</v>
      </c>
    </row>
    <row r="21" customFormat="false" ht="15" hidden="false" customHeight="false" outlineLevel="0" collapsed="false">
      <c r="A21" s="7" t="s">
        <v>120</v>
      </c>
      <c r="B21" s="7" t="s">
        <v>242</v>
      </c>
      <c r="C21" s="7" t="s">
        <v>239</v>
      </c>
      <c r="D21" s="7" t="s">
        <v>205</v>
      </c>
      <c r="E21" s="7" t="n">
        <v>0.17</v>
      </c>
      <c r="F21" s="7" t="s">
        <v>175</v>
      </c>
      <c r="G21" s="7" t="s">
        <v>243</v>
      </c>
      <c r="H21" s="7" t="n">
        <v>22</v>
      </c>
      <c r="I21" s="7" t="s">
        <v>217</v>
      </c>
      <c r="J21" s="7" t="n">
        <v>150</v>
      </c>
    </row>
    <row r="22" customFormat="false" ht="15" hidden="false" customHeight="false" outlineLevel="0" collapsed="false">
      <c r="A22" s="7" t="s">
        <v>123</v>
      </c>
      <c r="B22" s="7" t="s">
        <v>244</v>
      </c>
      <c r="C22" s="7" t="s">
        <v>239</v>
      </c>
      <c r="D22" s="7" t="s">
        <v>240</v>
      </c>
      <c r="E22" s="7" t="n">
        <v>0.17</v>
      </c>
      <c r="F22" s="7" t="s">
        <v>175</v>
      </c>
      <c r="G22" s="7" t="s">
        <v>229</v>
      </c>
      <c r="H22" s="7" t="n">
        <v>150</v>
      </c>
      <c r="I22" s="7" t="s">
        <v>223</v>
      </c>
      <c r="J22" s="7" t="n">
        <v>120</v>
      </c>
    </row>
    <row r="23" customFormat="false" ht="15" hidden="false" customHeight="false" outlineLevel="0" collapsed="false">
      <c r="A23" s="7" t="s">
        <v>126</v>
      </c>
      <c r="B23" s="7" t="s">
        <v>245</v>
      </c>
      <c r="C23" s="7" t="s">
        <v>239</v>
      </c>
      <c r="D23" s="7" t="s">
        <v>240</v>
      </c>
      <c r="E23" s="7" t="n">
        <v>0.17</v>
      </c>
      <c r="F23" s="7" t="s">
        <v>177</v>
      </c>
      <c r="G23" s="7" t="s">
        <v>246</v>
      </c>
      <c r="H23" s="7" t="n">
        <v>12</v>
      </c>
      <c r="I23" s="7" t="s">
        <v>241</v>
      </c>
      <c r="J23" s="7" t="n">
        <v>65</v>
      </c>
      <c r="K23" s="7" t="s">
        <v>223</v>
      </c>
      <c r="L23" s="7" t="n">
        <v>100</v>
      </c>
      <c r="M23" s="7" t="s">
        <v>229</v>
      </c>
      <c r="N23" s="7" t="n">
        <v>100</v>
      </c>
    </row>
    <row r="24" customFormat="false" ht="15" hidden="false" customHeight="false" outlineLevel="0" collapsed="false">
      <c r="A24" s="7" t="s">
        <v>129</v>
      </c>
      <c r="B24" s="7" t="s">
        <v>247</v>
      </c>
      <c r="C24" s="7" t="s">
        <v>239</v>
      </c>
      <c r="D24" s="7" t="s">
        <v>248</v>
      </c>
      <c r="E24" s="7" t="n">
        <v>0.17</v>
      </c>
      <c r="F24" s="7" t="s">
        <v>178</v>
      </c>
      <c r="G24" s="7" t="s">
        <v>243</v>
      </c>
      <c r="H24" s="7" t="n">
        <v>22</v>
      </c>
      <c r="I24" s="7" t="s">
        <v>212</v>
      </c>
      <c r="J24" s="7" t="n">
        <v>0.18</v>
      </c>
      <c r="K24" s="7" t="s">
        <v>211</v>
      </c>
      <c r="L24" s="7" t="n">
        <v>12.5</v>
      </c>
    </row>
    <row r="25" customFormat="false" ht="15" hidden="false" customHeight="false" outlineLevel="0" collapsed="false">
      <c r="A25" s="7" t="s">
        <v>132</v>
      </c>
      <c r="B25" s="7" t="s">
        <v>249</v>
      </c>
      <c r="C25" s="7" t="s">
        <v>239</v>
      </c>
      <c r="D25" s="7" t="s">
        <v>248</v>
      </c>
      <c r="E25" s="7" t="n">
        <v>0.17</v>
      </c>
      <c r="F25" s="7" t="s">
        <v>178</v>
      </c>
      <c r="G25" s="7" t="s">
        <v>241</v>
      </c>
      <c r="H25" s="7" t="n">
        <v>50</v>
      </c>
      <c r="I25" s="7" t="s">
        <v>250</v>
      </c>
      <c r="J25" s="7" t="n">
        <v>150</v>
      </c>
    </row>
    <row r="26" customFormat="false" ht="15" hidden="false" customHeight="false" outlineLevel="0" collapsed="false">
      <c r="A26" s="7" t="s">
        <v>135</v>
      </c>
      <c r="B26" s="7" t="s">
        <v>251</v>
      </c>
      <c r="C26" s="7" t="s">
        <v>239</v>
      </c>
      <c r="D26" s="7" t="s">
        <v>248</v>
      </c>
      <c r="E26" s="7" t="n">
        <v>0.17</v>
      </c>
      <c r="F26" s="7" t="s">
        <v>178</v>
      </c>
      <c r="G26" s="7" t="s">
        <v>241</v>
      </c>
      <c r="H26" s="7" t="n">
        <v>50</v>
      </c>
      <c r="I26" s="7" t="s">
        <v>225</v>
      </c>
      <c r="J26" s="7" t="n">
        <v>160</v>
      </c>
    </row>
    <row r="27" customFormat="false" ht="15" hidden="false" customHeight="false" outlineLevel="0" collapsed="false">
      <c r="A27" s="7" t="s">
        <v>138</v>
      </c>
      <c r="B27" s="7" t="s">
        <v>252</v>
      </c>
      <c r="C27" s="7" t="s">
        <v>253</v>
      </c>
      <c r="D27" s="7" t="s">
        <v>254</v>
      </c>
      <c r="E27" s="7" t="n">
        <v>0.13</v>
      </c>
      <c r="F27" s="7" t="s">
        <v>178</v>
      </c>
      <c r="G27" s="7" t="s">
        <v>211</v>
      </c>
      <c r="H27" s="7" t="n">
        <v>12.5</v>
      </c>
      <c r="I27" s="7" t="s">
        <v>212</v>
      </c>
      <c r="J27" s="7" t="n">
        <v>0.09</v>
      </c>
    </row>
    <row r="28" customFormat="false" ht="15" hidden="false" customHeight="false" outlineLevel="0" collapsed="false">
      <c r="A28" s="7" t="s">
        <v>141</v>
      </c>
      <c r="B28" s="7" t="s">
        <v>255</v>
      </c>
      <c r="C28" s="7" t="s">
        <v>253</v>
      </c>
      <c r="D28" s="7" t="s">
        <v>254</v>
      </c>
      <c r="E28" s="7" t="n">
        <v>0.13</v>
      </c>
      <c r="F28" s="7" t="s">
        <v>178</v>
      </c>
      <c r="G28" s="7" t="s">
        <v>206</v>
      </c>
      <c r="H28" s="7" t="n">
        <v>13</v>
      </c>
      <c r="I28" s="7" t="s">
        <v>207</v>
      </c>
      <c r="J28" s="7" t="n">
        <v>50</v>
      </c>
    </row>
    <row r="29" customFormat="false" ht="15" hidden="false" customHeight="false" outlineLevel="0" collapsed="false">
      <c r="A29" s="7" t="s">
        <v>144</v>
      </c>
      <c r="B29" s="7" t="s">
        <v>256</v>
      </c>
      <c r="C29" s="7" t="s">
        <v>253</v>
      </c>
      <c r="D29" s="7" t="s">
        <v>254</v>
      </c>
      <c r="E29" s="7" t="n">
        <v>0.13</v>
      </c>
      <c r="F29" s="7" t="s">
        <v>178</v>
      </c>
      <c r="G29" s="7" t="s">
        <v>206</v>
      </c>
      <c r="H29" s="7" t="n">
        <v>13</v>
      </c>
      <c r="I29" s="7" t="s">
        <v>214</v>
      </c>
      <c r="J29" s="7" t="n">
        <v>50</v>
      </c>
    </row>
    <row r="30" customFormat="false" ht="15" hidden="false" customHeight="false" outlineLevel="0" collapsed="false">
      <c r="A30" s="7" t="s">
        <v>147</v>
      </c>
      <c r="B30" s="7" t="s">
        <v>257</v>
      </c>
      <c r="C30" s="7" t="s">
        <v>253</v>
      </c>
      <c r="D30" s="7" t="s">
        <v>254</v>
      </c>
      <c r="E30" s="7" t="n">
        <v>0.13</v>
      </c>
      <c r="F30" s="7" t="s">
        <v>178</v>
      </c>
      <c r="G30" s="7" t="s">
        <v>206</v>
      </c>
      <c r="H30" s="7" t="n">
        <v>13</v>
      </c>
      <c r="I30" s="7" t="s">
        <v>207</v>
      </c>
      <c r="J30" s="7" t="n">
        <v>100</v>
      </c>
    </row>
    <row r="31" customFormat="false" ht="15" hidden="false" customHeight="false" outlineLevel="0" collapsed="false">
      <c r="A31" s="7" t="s">
        <v>150</v>
      </c>
      <c r="B31" s="7" t="s">
        <v>258</v>
      </c>
      <c r="C31" s="7" t="s">
        <v>253</v>
      </c>
      <c r="D31" s="7" t="s">
        <v>254</v>
      </c>
      <c r="E31" s="7" t="n">
        <v>0.13</v>
      </c>
      <c r="F31" s="7" t="s">
        <v>175</v>
      </c>
      <c r="G31" s="7" t="s">
        <v>211</v>
      </c>
      <c r="H31" s="7" t="n">
        <v>25</v>
      </c>
      <c r="I31" s="7" t="s">
        <v>217</v>
      </c>
      <c r="J31" s="7" t="n">
        <v>90</v>
      </c>
    </row>
    <row r="32" customFormat="false" ht="15" hidden="false" customHeight="false" outlineLevel="0" collapsed="false">
      <c r="A32" s="7" t="s">
        <v>153</v>
      </c>
      <c r="B32" s="7" t="s">
        <v>259</v>
      </c>
      <c r="C32" s="7" t="s">
        <v>260</v>
      </c>
      <c r="D32" s="7" t="s">
        <v>205</v>
      </c>
      <c r="E32" s="7" t="n">
        <v>0.1</v>
      </c>
      <c r="F32" s="7" t="s">
        <v>178</v>
      </c>
      <c r="G32" s="7" t="s">
        <v>211</v>
      </c>
      <c r="H32" s="7" t="n">
        <v>12.5</v>
      </c>
      <c r="I32" s="7" t="s">
        <v>208</v>
      </c>
      <c r="J32" s="7" t="n">
        <v>300</v>
      </c>
    </row>
    <row r="33" customFormat="false" ht="15" hidden="false" customHeight="false" outlineLevel="0" collapsed="false">
      <c r="A33" s="7" t="s">
        <v>156</v>
      </c>
      <c r="B33" s="7" t="s">
        <v>261</v>
      </c>
      <c r="C33" s="7" t="s">
        <v>260</v>
      </c>
      <c r="D33" s="7" t="s">
        <v>205</v>
      </c>
      <c r="E33" s="7" t="n">
        <v>0.1</v>
      </c>
      <c r="F33" s="7" t="s">
        <v>175</v>
      </c>
      <c r="G33" s="7" t="s">
        <v>229</v>
      </c>
      <c r="H33" s="7" t="n">
        <v>200</v>
      </c>
      <c r="I33" s="7" t="s">
        <v>223</v>
      </c>
      <c r="J33" s="7" t="n">
        <v>150</v>
      </c>
    </row>
    <row r="34" customFormat="false" ht="15" hidden="false" customHeight="false" outlineLevel="0" collapsed="false">
      <c r="A34" s="8" t="s">
        <v>159</v>
      </c>
      <c r="B34" s="8" t="s">
        <v>262</v>
      </c>
      <c r="C34" s="8" t="s">
        <v>204</v>
      </c>
      <c r="D34" s="8" t="s">
        <v>205</v>
      </c>
      <c r="E34" s="8" t="n">
        <v>0.13</v>
      </c>
      <c r="F34" s="8" t="s">
        <v>177</v>
      </c>
      <c r="G34" s="8" t="s">
        <v>206</v>
      </c>
      <c r="H34" s="8" t="n">
        <v>13</v>
      </c>
      <c r="I34" s="8" t="s">
        <v>207</v>
      </c>
      <c r="J34" s="8" t="n">
        <v>100</v>
      </c>
      <c r="K34" s="8" t="s">
        <v>208</v>
      </c>
      <c r="L34" s="8" t="n">
        <v>150</v>
      </c>
      <c r="M34" s="8" t="s">
        <v>209</v>
      </c>
      <c r="N34" s="8" t="n">
        <v>102</v>
      </c>
      <c r="O34" s="8"/>
      <c r="P34" s="8"/>
      <c r="Q34" s="8"/>
      <c r="R34" s="8"/>
      <c r="S34" s="8"/>
      <c r="T34" s="8"/>
      <c r="U34" s="8"/>
      <c r="V34" s="8"/>
    </row>
  </sheetData>
  <dataValidations count="8">
    <dataValidation allowBlank="false" errorStyle="stop" operator="between" showDropDown="false" showErrorMessage="false" showInputMessage="false" sqref="G34" type="list">
      <formula1>Materials!$I$5:$I$29</formula1>
      <formula2>0</formula2>
    </dataValidation>
    <dataValidation allowBlank="false" errorStyle="stop" operator="between" showDropDown="false" showErrorMessage="false" showInputMessage="false" sqref="I34" type="list">
      <formula1>Materials!$I$5:$I$29</formula1>
      <formula2>0</formula2>
    </dataValidation>
    <dataValidation allowBlank="false" errorStyle="stop" operator="between" showDropDown="false" showErrorMessage="false" showInputMessage="false" sqref="K34" type="list">
      <formula1>Materials!$I$5:$I$29</formula1>
      <formula2>0</formula2>
    </dataValidation>
    <dataValidation allowBlank="false" errorStyle="stop" operator="between" showDropDown="false" showErrorMessage="false" showInputMessage="false" sqref="M34" type="list">
      <formula1>Materials!$I$5:$I$29</formula1>
      <formula2>0</formula2>
    </dataValidation>
    <dataValidation allowBlank="false" errorStyle="stop" operator="between" showDropDown="false" showErrorMessage="false" showInputMessage="false" sqref="O34" type="list">
      <formula1>Materials!$I$5:$I$29</formula1>
      <formula2>0</formula2>
    </dataValidation>
    <dataValidation allowBlank="false" errorStyle="stop" operator="between" showDropDown="false" showErrorMessage="false" showInputMessage="false" sqref="Q34" type="list">
      <formula1>Materials!$I$5:$I$29</formula1>
      <formula2>0</formula2>
    </dataValidation>
    <dataValidation allowBlank="false" errorStyle="stop" operator="between" showDropDown="false" showErrorMessage="false" showInputMessage="false" sqref="S34" type="list">
      <formula1>Materials!$I$5:$I$29</formula1>
      <formula2>0</formula2>
    </dataValidation>
    <dataValidation allowBlank="false" errorStyle="stop" operator="between" showDropDown="false" showErrorMessage="false" showInputMessage="false" sqref="U34" type="list">
      <formula1>Materials!$I$5:$I$29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9" min="9" style="0" width="22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17" t="s">
        <v>264</v>
      </c>
    </row>
    <row r="4" customFormat="false" ht="30" hidden="false" customHeight="true" outlineLevel="0" collapsed="false">
      <c r="A4" s="22" t="s">
        <v>24</v>
      </c>
      <c r="B4" s="22" t="s">
        <v>265</v>
      </c>
      <c r="C4" s="22" t="s">
        <v>266</v>
      </c>
      <c r="D4" s="22" t="s">
        <v>267</v>
      </c>
      <c r="E4" s="22" t="s">
        <v>268</v>
      </c>
      <c r="F4" s="22" t="s">
        <v>269</v>
      </c>
      <c r="G4" s="22" t="s">
        <v>270</v>
      </c>
      <c r="I4" s="4" t="s">
        <v>271</v>
      </c>
    </row>
    <row r="5" customFormat="false" ht="15" hidden="false" customHeight="false" outlineLevel="0" collapsed="false">
      <c r="A5" s="7" t="s">
        <v>229</v>
      </c>
      <c r="B5" s="8" t="n">
        <v>2</v>
      </c>
      <c r="C5" s="8" t="n">
        <v>2400</v>
      </c>
      <c r="D5" s="8" t="n">
        <v>1000</v>
      </c>
      <c r="E5" s="23" t="n">
        <f aca="false">B5/(C5*D5)*1000000</f>
        <v>0.833333333333333</v>
      </c>
      <c r="F5" s="12" t="n">
        <f aca="false">SQRT(B5*C5*D5)</f>
        <v>2190.89023002066</v>
      </c>
      <c r="G5" s="12" t="n">
        <f aca="false">SQRT(B5*86400/(PI()*C5*D5))*1000</f>
        <v>151.38795132121</v>
      </c>
      <c r="I5" s="7" t="s">
        <v>212</v>
      </c>
    </row>
    <row r="6" customFormat="false" ht="15" hidden="false" customHeight="false" outlineLevel="0" collapsed="false">
      <c r="A6" s="7" t="s">
        <v>250</v>
      </c>
      <c r="B6" s="8" t="n">
        <v>1.6</v>
      </c>
      <c r="C6" s="8" t="n">
        <v>2200</v>
      </c>
      <c r="D6" s="8" t="n">
        <v>1000</v>
      </c>
      <c r="E6" s="23" t="n">
        <f aca="false">B6/(C6*D6)*1000000</f>
        <v>0.727272727272727</v>
      </c>
      <c r="F6" s="12" t="n">
        <f aca="false">SQRT(B6*C6*D6)</f>
        <v>1876.16630392937</v>
      </c>
      <c r="G6" s="12" t="n">
        <f aca="false">SQRT(B6*86400/(PI()*C6*D6))*1000</f>
        <v>141.426432314805</v>
      </c>
      <c r="I6" s="7" t="s">
        <v>229</v>
      </c>
    </row>
    <row r="7" customFormat="false" ht="15" hidden="false" customHeight="false" outlineLevel="0" collapsed="false">
      <c r="A7" s="7" t="s">
        <v>241</v>
      </c>
      <c r="B7" s="8" t="n">
        <v>1.15</v>
      </c>
      <c r="C7" s="8" t="n">
        <v>2000</v>
      </c>
      <c r="D7" s="8" t="n">
        <v>1000</v>
      </c>
      <c r="E7" s="23" t="n">
        <f aca="false">B7/(C7*D7)*1000000</f>
        <v>0.575</v>
      </c>
      <c r="F7" s="12" t="n">
        <f aca="false">SQRT(B7*C7*D7)</f>
        <v>1516.57508881031</v>
      </c>
      <c r="G7" s="12" t="n">
        <f aca="false">SQRT(B7*86400/(PI()*C7*D7))*1000</f>
        <v>125.752276900304</v>
      </c>
      <c r="I7" s="7" t="s">
        <v>250</v>
      </c>
    </row>
    <row r="8" customFormat="false" ht="15" hidden="false" customHeight="false" outlineLevel="0" collapsed="false">
      <c r="A8" s="7" t="s">
        <v>209</v>
      </c>
      <c r="B8" s="8" t="n">
        <v>0.77</v>
      </c>
      <c r="C8" s="8" t="n">
        <v>1700</v>
      </c>
      <c r="D8" s="8" t="n">
        <v>800</v>
      </c>
      <c r="E8" s="23" t="n">
        <f aca="false">B8/(C8*D8)*1000000</f>
        <v>0.566176470588235</v>
      </c>
      <c r="F8" s="12" t="n">
        <f aca="false">SQRT(B8*C8*D8)</f>
        <v>1023.32790443728</v>
      </c>
      <c r="G8" s="12" t="n">
        <f aca="false">SQRT(B8*86400/(PI()*C8*D8))*1000</f>
        <v>124.78369552018</v>
      </c>
      <c r="I8" s="7" t="s">
        <v>241</v>
      </c>
    </row>
    <row r="9" customFormat="false" ht="15" hidden="false" customHeight="false" outlineLevel="0" collapsed="false">
      <c r="A9" s="7" t="s">
        <v>207</v>
      </c>
      <c r="B9" s="8" t="n">
        <v>1.13</v>
      </c>
      <c r="C9" s="8" t="n">
        <v>2000</v>
      </c>
      <c r="D9" s="8" t="n">
        <v>1000</v>
      </c>
      <c r="E9" s="23" t="n">
        <f aca="false">B9/(C9*D9)*1000000</f>
        <v>0.565</v>
      </c>
      <c r="F9" s="12" t="n">
        <f aca="false">SQRT(B9*C9*D9)</f>
        <v>1503.32963783729</v>
      </c>
      <c r="G9" s="12" t="n">
        <f aca="false">SQRT(B9*86400/(PI()*C9*D9))*1000</f>
        <v>124.653982703915</v>
      </c>
      <c r="I9" s="7" t="s">
        <v>209</v>
      </c>
    </row>
    <row r="10" customFormat="false" ht="15" hidden="false" customHeight="false" outlineLevel="0" collapsed="false">
      <c r="A10" s="7" t="s">
        <v>272</v>
      </c>
      <c r="B10" s="8" t="n">
        <v>0.51</v>
      </c>
      <c r="C10" s="8" t="n">
        <v>1400</v>
      </c>
      <c r="D10" s="8" t="n">
        <v>1000</v>
      </c>
      <c r="E10" s="23" t="n">
        <f aca="false">B10/(C10*D10)*1000000</f>
        <v>0.364285714285714</v>
      </c>
      <c r="F10" s="12" t="n">
        <f aca="false">SQRT(B10*C10*D10)</f>
        <v>844.985206971104</v>
      </c>
      <c r="G10" s="12" t="n">
        <f aca="false">SQRT(B10*86400/(PI()*C10*D10))*1000</f>
        <v>100.092838422289</v>
      </c>
      <c r="I10" s="7" t="s">
        <v>207</v>
      </c>
    </row>
    <row r="11" customFormat="false" ht="15" hidden="false" customHeight="false" outlineLevel="0" collapsed="false">
      <c r="A11" s="7" t="s">
        <v>214</v>
      </c>
      <c r="B11" s="8" t="n">
        <v>0.15</v>
      </c>
      <c r="C11" s="8" t="n">
        <v>600</v>
      </c>
      <c r="D11" s="8" t="n">
        <v>1000</v>
      </c>
      <c r="E11" s="23" t="n">
        <f aca="false">B11/(C11*D11)*1000000</f>
        <v>0.25</v>
      </c>
      <c r="F11" s="12" t="n">
        <f aca="false">SQRT(B11*C11*D11)</f>
        <v>300</v>
      </c>
      <c r="G11" s="12" t="n">
        <f aca="false">SQRT(B11*86400/(PI()*C11*D11))*1000</f>
        <v>82.9185958731205</v>
      </c>
      <c r="I11" s="7" t="s">
        <v>272</v>
      </c>
    </row>
    <row r="12" customFormat="false" ht="15" hidden="false" customHeight="false" outlineLevel="0" collapsed="false">
      <c r="A12" s="7" t="s">
        <v>206</v>
      </c>
      <c r="B12" s="8" t="n">
        <v>0.5</v>
      </c>
      <c r="C12" s="8" t="n">
        <v>1300</v>
      </c>
      <c r="D12" s="8" t="n">
        <v>1000</v>
      </c>
      <c r="E12" s="23" t="n">
        <f aca="false">B12/(C12*D12)*1000000</f>
        <v>0.384615384615385</v>
      </c>
      <c r="F12" s="12" t="n">
        <f aca="false">SQRT(B12*C12*D12)</f>
        <v>806.225774829855</v>
      </c>
      <c r="G12" s="12" t="n">
        <f aca="false">SQRT(B12*86400/(PI()*C12*D12))*1000</f>
        <v>102.847860316323</v>
      </c>
      <c r="I12" s="7" t="s">
        <v>214</v>
      </c>
    </row>
    <row r="13" customFormat="false" ht="15" hidden="false" customHeight="false" outlineLevel="0" collapsed="false">
      <c r="A13" s="7" t="s">
        <v>234</v>
      </c>
      <c r="B13" s="8" t="n">
        <v>0.7</v>
      </c>
      <c r="C13" s="8" t="n">
        <v>1600</v>
      </c>
      <c r="D13" s="8" t="n">
        <v>1000</v>
      </c>
      <c r="E13" s="23" t="n">
        <f aca="false">B13/(C13*D13)*1000000</f>
        <v>0.4375</v>
      </c>
      <c r="F13" s="12" t="n">
        <f aca="false">SQRT(B13*C13*D13)</f>
        <v>1058.30052442584</v>
      </c>
      <c r="G13" s="12" t="n">
        <f aca="false">SQRT(B13*86400/(PI()*C13*D13))*1000</f>
        <v>109.690991871472</v>
      </c>
      <c r="I13" s="7" t="s">
        <v>206</v>
      </c>
    </row>
    <row r="14" customFormat="false" ht="15" hidden="false" customHeight="false" outlineLevel="0" collapsed="false">
      <c r="A14" s="7" t="s">
        <v>221</v>
      </c>
      <c r="B14" s="8" t="n">
        <v>0.8</v>
      </c>
      <c r="C14" s="8" t="n">
        <v>1800</v>
      </c>
      <c r="D14" s="8" t="n">
        <v>1000</v>
      </c>
      <c r="E14" s="23" t="n">
        <f aca="false">B14/(C14*D14)*1000000</f>
        <v>0.444444444444445</v>
      </c>
      <c r="F14" s="12" t="n">
        <f aca="false">SQRT(B14*C14*D14)</f>
        <v>1200</v>
      </c>
      <c r="G14" s="12" t="n">
        <f aca="false">SQRT(B14*86400/(PI()*C14*D14))*1000</f>
        <v>110.558127830827</v>
      </c>
      <c r="I14" s="7" t="s">
        <v>234</v>
      </c>
    </row>
    <row r="15" customFormat="false" ht="15" hidden="false" customHeight="false" outlineLevel="0" collapsed="false">
      <c r="A15" s="7" t="s">
        <v>211</v>
      </c>
      <c r="B15" s="8" t="n">
        <v>0.21</v>
      </c>
      <c r="C15" s="8" t="n">
        <v>700</v>
      </c>
      <c r="D15" s="8" t="n">
        <v>1000</v>
      </c>
      <c r="E15" s="23" t="n">
        <f aca="false">B15/(C15*D15)*1000000</f>
        <v>0.3</v>
      </c>
      <c r="F15" s="12" t="n">
        <f aca="false">SQRT(B15*C15*D15)</f>
        <v>383.405790253616</v>
      </c>
      <c r="G15" s="12" t="n">
        <f aca="false">SQRT(B15*86400/(PI()*C15*D15))*1000</f>
        <v>90.8327707927258</v>
      </c>
      <c r="I15" s="7" t="s">
        <v>221</v>
      </c>
    </row>
    <row r="16" customFormat="false" ht="15" hidden="false" customHeight="false" outlineLevel="0" collapsed="false">
      <c r="A16" s="7" t="s">
        <v>225</v>
      </c>
      <c r="B16" s="8" t="n">
        <v>0.13</v>
      </c>
      <c r="C16" s="8" t="n">
        <v>470</v>
      </c>
      <c r="D16" s="8" t="n">
        <v>1600</v>
      </c>
      <c r="E16" s="23" t="n">
        <f aca="false">B16/(C16*D16)*1000000</f>
        <v>0.172872340425532</v>
      </c>
      <c r="F16" s="12" t="n">
        <f aca="false">SQRT(B16*C16*D16)</f>
        <v>312.665955933805</v>
      </c>
      <c r="G16" s="12" t="n">
        <f aca="false">SQRT(B16*86400/(PI()*C16*D16))*1000</f>
        <v>68.9516543706332</v>
      </c>
      <c r="I16" s="7" t="s">
        <v>211</v>
      </c>
    </row>
    <row r="17" customFormat="false" ht="15" hidden="false" customHeight="false" outlineLevel="0" collapsed="false">
      <c r="A17" s="7" t="s">
        <v>218</v>
      </c>
      <c r="B17" s="8" t="n">
        <v>0.13</v>
      </c>
      <c r="C17" s="8" t="n">
        <v>650</v>
      </c>
      <c r="D17" s="8" t="n">
        <v>1700</v>
      </c>
      <c r="E17" s="23" t="n">
        <f aca="false">B17/(C17*D17)*1000000</f>
        <v>0.117647058823529</v>
      </c>
      <c r="F17" s="12" t="n">
        <f aca="false">SQRT(B17*C17*D17)</f>
        <v>379.011873164945</v>
      </c>
      <c r="G17" s="12" t="n">
        <f aca="false">SQRT(B17*86400/(PI()*C17*D17))*1000</f>
        <v>56.8816874969746</v>
      </c>
      <c r="I17" s="7" t="s">
        <v>225</v>
      </c>
    </row>
    <row r="18" customFormat="false" ht="15" hidden="false" customHeight="false" outlineLevel="0" collapsed="false">
      <c r="A18" s="7" t="s">
        <v>243</v>
      </c>
      <c r="B18" s="8" t="n">
        <v>0.14</v>
      </c>
      <c r="C18" s="8" t="n">
        <v>650</v>
      </c>
      <c r="D18" s="8" t="n">
        <v>1700</v>
      </c>
      <c r="E18" s="23" t="n">
        <f aca="false">B18/(C18*D18)*1000000</f>
        <v>0.126696832579186</v>
      </c>
      <c r="F18" s="12" t="n">
        <f aca="false">SQRT(B18*C18*D18)</f>
        <v>393.319208785943</v>
      </c>
      <c r="G18" s="12" t="n">
        <f aca="false">SQRT(B18*86400/(PI()*C18*D18))*1000</f>
        <v>59.0289167827278</v>
      </c>
      <c r="I18" s="7" t="s">
        <v>218</v>
      </c>
    </row>
    <row r="19" customFormat="false" ht="15" hidden="false" customHeight="false" outlineLevel="0" collapsed="false">
      <c r="A19" s="7" t="s">
        <v>273</v>
      </c>
      <c r="B19" s="8" t="n">
        <v>0.13</v>
      </c>
      <c r="C19" s="8" t="n">
        <v>500</v>
      </c>
      <c r="D19" s="8" t="n">
        <v>1600</v>
      </c>
      <c r="E19" s="23" t="n">
        <f aca="false">B19/(C19*D19)*1000000</f>
        <v>0.1625</v>
      </c>
      <c r="F19" s="12" t="n">
        <f aca="false">SQRT(B19*C19*D19)</f>
        <v>322.490309931942</v>
      </c>
      <c r="G19" s="12" t="n">
        <f aca="false">SQRT(B19*86400/(PI()*C19*D19))*1000</f>
        <v>66.8511092056102</v>
      </c>
      <c r="I19" s="7" t="s">
        <v>243</v>
      </c>
    </row>
    <row r="20" customFormat="false" ht="15" hidden="false" customHeight="false" outlineLevel="0" collapsed="false">
      <c r="A20" s="7" t="s">
        <v>208</v>
      </c>
      <c r="B20" s="8" t="n">
        <v>0.035</v>
      </c>
      <c r="C20" s="8" t="n">
        <v>30</v>
      </c>
      <c r="D20" s="8" t="n">
        <v>1030</v>
      </c>
      <c r="E20" s="23" t="n">
        <f aca="false">B20/(C20*D20)*1000000</f>
        <v>1.1326860841424</v>
      </c>
      <c r="F20" s="12" t="n">
        <f aca="false">SQRT(B20*C20*D20)</f>
        <v>32.8861673048107</v>
      </c>
      <c r="G20" s="12" t="n">
        <f aca="false">SQRT(B20*86400/(PI()*C20*D20))*1000</f>
        <v>176.496751881128</v>
      </c>
      <c r="I20" s="7" t="s">
        <v>273</v>
      </c>
    </row>
    <row r="21" customFormat="false" ht="15" hidden="false" customHeight="false" outlineLevel="0" collapsed="false">
      <c r="A21" s="7" t="s">
        <v>217</v>
      </c>
      <c r="B21" s="8" t="n">
        <v>0.04</v>
      </c>
      <c r="C21" s="8" t="n">
        <v>60</v>
      </c>
      <c r="D21" s="8" t="n">
        <v>1200</v>
      </c>
      <c r="E21" s="23" t="n">
        <f aca="false">B21/(C21*D21)*1000000</f>
        <v>0.555555555555556</v>
      </c>
      <c r="F21" s="12" t="n">
        <f aca="false">SQRT(B21*C21*D21)</f>
        <v>53.665631459995</v>
      </c>
      <c r="G21" s="12" t="n">
        <f aca="false">SQRT(B21*86400/(PI()*C21*D21))*1000</f>
        <v>123.607744647421</v>
      </c>
      <c r="I21" s="7" t="s">
        <v>208</v>
      </c>
    </row>
    <row r="22" customFormat="false" ht="15" hidden="false" customHeight="false" outlineLevel="0" collapsed="false">
      <c r="A22" s="7" t="s">
        <v>223</v>
      </c>
      <c r="B22" s="8" t="n">
        <v>0.022</v>
      </c>
      <c r="C22" s="8" t="n">
        <v>30</v>
      </c>
      <c r="D22" s="8" t="n">
        <v>1400</v>
      </c>
      <c r="E22" s="23" t="n">
        <f aca="false">B22/(C22*D22)*1000000</f>
        <v>0.523809523809524</v>
      </c>
      <c r="F22" s="12" t="n">
        <f aca="false">SQRT(B22*C22*D22)</f>
        <v>30.3973683071413</v>
      </c>
      <c r="G22" s="12" t="n">
        <f aca="false">SQRT(B22*86400/(PI()*C22*D22))*1000</f>
        <v>120.024147536488</v>
      </c>
      <c r="I22" s="7" t="s">
        <v>217</v>
      </c>
    </row>
    <row r="23" customFormat="false" ht="15" hidden="false" customHeight="false" outlineLevel="0" collapsed="false">
      <c r="A23" s="7" t="s">
        <v>228</v>
      </c>
      <c r="B23" s="8" t="n">
        <v>0.032</v>
      </c>
      <c r="C23" s="8" t="n">
        <v>20</v>
      </c>
      <c r="D23" s="8" t="n">
        <v>1450</v>
      </c>
      <c r="E23" s="23" t="n">
        <f aca="false">B23/(C23*D23)*1000000</f>
        <v>1.10344827586207</v>
      </c>
      <c r="F23" s="12" t="n">
        <f aca="false">SQRT(B23*C23*D23)</f>
        <v>30.4630924234556</v>
      </c>
      <c r="G23" s="12" t="n">
        <f aca="false">SQRT(B23*86400/(PI()*C23*D23))*1000</f>
        <v>174.203920669382</v>
      </c>
      <c r="I23" s="7" t="s">
        <v>223</v>
      </c>
    </row>
    <row r="24" customFormat="false" ht="15" hidden="false" customHeight="false" outlineLevel="0" collapsed="false">
      <c r="A24" s="7" t="s">
        <v>220</v>
      </c>
      <c r="B24" s="8" t="n">
        <v>0.038</v>
      </c>
      <c r="C24" s="8" t="n">
        <v>160</v>
      </c>
      <c r="D24" s="8" t="n">
        <v>2100</v>
      </c>
      <c r="E24" s="23" t="n">
        <f aca="false">B24/(C24*D24)*1000000</f>
        <v>0.113095238095238</v>
      </c>
      <c r="F24" s="12" t="n">
        <f aca="false">SQRT(B24*C24*D24)</f>
        <v>112.995575134604</v>
      </c>
      <c r="G24" s="12" t="n">
        <f aca="false">SQRT(B24*86400/(PI()*C24*D24))*1000</f>
        <v>55.770443035935</v>
      </c>
      <c r="I24" s="7" t="s">
        <v>228</v>
      </c>
    </row>
    <row r="25" customFormat="false" ht="15" hidden="false" customHeight="false" outlineLevel="0" collapsed="false">
      <c r="A25" s="7" t="s">
        <v>235</v>
      </c>
      <c r="B25" s="8" t="n">
        <v>0.07</v>
      </c>
      <c r="C25" s="8" t="n">
        <v>330</v>
      </c>
      <c r="D25" s="8" t="n">
        <v>1500</v>
      </c>
      <c r="E25" s="23" t="n">
        <f aca="false">B25/(C25*D25)*1000000</f>
        <v>0.141414141414141</v>
      </c>
      <c r="F25" s="12" t="n">
        <f aca="false">SQRT(B25*C25*D25)</f>
        <v>186.145104689863</v>
      </c>
      <c r="G25" s="12" t="n">
        <f aca="false">SQRT(B25*86400/(PI()*C25*D25))*1000</f>
        <v>62.3631947860139</v>
      </c>
      <c r="I25" s="7" t="s">
        <v>220</v>
      </c>
    </row>
    <row r="26" customFormat="false" ht="15" hidden="false" customHeight="false" outlineLevel="0" collapsed="false">
      <c r="A26" s="7" t="s">
        <v>237</v>
      </c>
      <c r="B26" s="8" t="n">
        <v>1</v>
      </c>
      <c r="C26" s="8" t="n">
        <v>1900</v>
      </c>
      <c r="D26" s="8" t="n">
        <v>900</v>
      </c>
      <c r="E26" s="23" t="n">
        <f aca="false">B26/(C26*D26)*1000000</f>
        <v>0.584795321637427</v>
      </c>
      <c r="F26" s="12" t="n">
        <f aca="false">SQRT(B26*C26*D26)</f>
        <v>1307.6696830622</v>
      </c>
      <c r="G26" s="12" t="n">
        <f aca="false">SQRT(B26*86400/(PI()*C26*D26))*1000</f>
        <v>126.818870158323</v>
      </c>
      <c r="I26" s="7" t="s">
        <v>235</v>
      </c>
    </row>
    <row r="27" customFormat="false" ht="15" hidden="false" customHeight="false" outlineLevel="0" collapsed="false">
      <c r="A27" s="7" t="s">
        <v>246</v>
      </c>
      <c r="B27" s="8" t="n">
        <v>0.06</v>
      </c>
      <c r="C27" s="8" t="n">
        <v>200</v>
      </c>
      <c r="D27" s="8" t="n">
        <v>1300</v>
      </c>
      <c r="E27" s="23" t="n">
        <f aca="false">B27/(C27*D27)*1000000</f>
        <v>0.230769230769231</v>
      </c>
      <c r="F27" s="12" t="n">
        <f aca="false">SQRT(B27*C27*D27)</f>
        <v>124.899959967968</v>
      </c>
      <c r="G27" s="12" t="n">
        <f aca="false">SQRT(B27*86400/(PI()*C27*D27))*1000</f>
        <v>79.6656100396374</v>
      </c>
      <c r="I27" s="7" t="s">
        <v>237</v>
      </c>
    </row>
    <row r="28" customFormat="false" ht="15" hidden="false" customHeight="false" outlineLevel="0" collapsed="false">
      <c r="A28" s="7" t="s">
        <v>274</v>
      </c>
      <c r="B28" s="8" t="n">
        <v>1.5</v>
      </c>
      <c r="C28" s="8" t="n">
        <v>1500</v>
      </c>
      <c r="D28" s="8" t="n">
        <v>2000</v>
      </c>
      <c r="E28" s="23" t="n">
        <f aca="false">B28/(C28*D28)*1000000</f>
        <v>0.5</v>
      </c>
      <c r="F28" s="12" t="n">
        <f aca="false">SQRT(B28*C28*D28)</f>
        <v>2121.32034355964</v>
      </c>
      <c r="G28" s="12" t="n">
        <f aca="false">SQRT(B28*86400/(PI()*C28*D28))*1000</f>
        <v>117.264602856701</v>
      </c>
      <c r="I28" s="7" t="s">
        <v>246</v>
      </c>
    </row>
    <row r="29" customFormat="false" ht="15" hidden="false" customHeight="false" outlineLevel="0" collapsed="false">
      <c r="I29" s="7" t="s">
        <v>274</v>
      </c>
    </row>
    <row r="30" customFormat="false" ht="15" hidden="false" customHeight="false" outlineLevel="0" collapsed="false">
      <c r="A30" s="17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276</v>
      </c>
    </row>
    <row r="2" customFormat="false" ht="15" hidden="false" customHeight="false" outlineLevel="0" collapsed="false">
      <c r="A2" s="17" t="s">
        <v>277</v>
      </c>
    </row>
    <row r="4" customFormat="false" ht="30" hidden="false" customHeight="true" outlineLevel="0" collapsed="false">
      <c r="A4" s="22" t="s">
        <v>173</v>
      </c>
      <c r="B4" s="22" t="s">
        <v>278</v>
      </c>
      <c r="C4" s="22" t="s">
        <v>279</v>
      </c>
      <c r="D4" s="22" t="s">
        <v>280</v>
      </c>
      <c r="E4" s="22" t="s">
        <v>281</v>
      </c>
      <c r="F4" s="22" t="s">
        <v>282</v>
      </c>
    </row>
    <row r="5" customFormat="false" ht="15" hidden="false" customHeight="false" outlineLevel="0" collapsed="false">
      <c r="A5" s="4" t="s">
        <v>175</v>
      </c>
      <c r="B5" s="24" t="n">
        <v>0</v>
      </c>
      <c r="C5" s="24" t="n">
        <v>0</v>
      </c>
      <c r="D5" s="24" t="n">
        <v>0</v>
      </c>
      <c r="E5" s="24" t="n">
        <v>0</v>
      </c>
      <c r="F5" s="24" t="n">
        <v>1</v>
      </c>
    </row>
    <row r="6" customFormat="false" ht="15" hidden="false" customHeight="false" outlineLevel="0" collapsed="false">
      <c r="A6" s="4" t="s">
        <v>176</v>
      </c>
      <c r="B6" s="24" t="n">
        <v>1</v>
      </c>
      <c r="C6" s="24" t="n">
        <v>0</v>
      </c>
      <c r="D6" s="24" t="n">
        <v>0</v>
      </c>
      <c r="E6" s="24" t="n">
        <v>0</v>
      </c>
      <c r="F6" s="24" t="n">
        <v>0</v>
      </c>
    </row>
    <row r="7" customFormat="false" ht="15" hidden="false" customHeight="false" outlineLevel="0" collapsed="false">
      <c r="A7" s="4" t="s">
        <v>177</v>
      </c>
      <c r="B7" s="24" t="n">
        <v>0.5</v>
      </c>
      <c r="C7" s="24" t="n">
        <v>0</v>
      </c>
      <c r="D7" s="24" t="n">
        <v>0</v>
      </c>
      <c r="E7" s="24" t="n">
        <v>0</v>
      </c>
      <c r="F7" s="24" t="n">
        <v>0.5</v>
      </c>
    </row>
    <row r="8" customFormat="false" ht="15" hidden="false" customHeight="false" outlineLevel="0" collapsed="false">
      <c r="A8" s="4" t="s">
        <v>178</v>
      </c>
      <c r="B8" s="24" t="n">
        <v>0.125</v>
      </c>
      <c r="C8" s="24" t="n">
        <v>0.25</v>
      </c>
      <c r="D8" s="24" t="n">
        <v>0.25</v>
      </c>
      <c r="E8" s="24" t="n">
        <v>0.25</v>
      </c>
      <c r="F8" s="24" t="n">
        <v>0.125</v>
      </c>
    </row>
    <row r="9" customFormat="false" ht="15" hidden="false" customHeight="false" outlineLevel="0" collapsed="false">
      <c r="A9" s="4" t="s">
        <v>179</v>
      </c>
      <c r="B9" s="24" t="n">
        <v>0</v>
      </c>
      <c r="C9" s="24" t="n">
        <v>0</v>
      </c>
      <c r="D9" s="24" t="n">
        <v>1</v>
      </c>
      <c r="E9" s="24" t="n">
        <v>0</v>
      </c>
      <c r="F9" s="24" t="n">
        <v>0</v>
      </c>
    </row>
    <row r="11" customFormat="false" ht="15" hidden="false" customHeight="false" outlineLevel="0" collapsed="false">
      <c r="A11" s="17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2026-10-18T22:31:20Z</dcterms:created>
  <dc:creator>openpyxl</dc:creator>
  <dc:description/>
  <dc:language>en-US</dc:language>
  <cp:lastModifiedBy/>
  <dcterms:modified xsi:type="dcterms:W3CDTF">2026-10-18T22:31:20Z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