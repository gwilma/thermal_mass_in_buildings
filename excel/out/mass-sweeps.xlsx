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Diminishing returns" sheetId="2" state="visible" r:id="rId4"/>
    <sheet name="Mass x night vent" sheetId="3" state="visible" r:id="rId5"/>
    <sheet name="Morris" sheetId="4" state="visible" r:id="rId6"/>
    <sheet name="Packag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<sst xmlns="http://schemas.openxmlformats.org/spreadsheetml/2006/main" count="154" uniqueCount="113">
  <si>
    <t xml:space="preserve">Mass Sweeps: results workbook</t>
  </si>
  <si>
    <t xml:space="preserve">What this is:</t>
  </si>
  <si>
    <t xml:space="preserve">The results of model 4, the parameter sweeps, run in Python (models/sweeps.py) on the full fine-mesh room model with Heathrow TMYx 2011-2025 weather. The same sweeps run live in the Mass Sweeps web app.</t>
  </si>
  <si>
    <t xml:space="preserve">Each sweep is hundreds of full-year hourly runs, which is too much for a spreadsheet, so the numbers here are pasted results. Everything derived from them (percentage savings, marginal gains, the interpolator) is a live formula.</t>
  </si>
  <si>
    <t xml:space="preserve">Base case:</t>
  </si>
  <si>
    <t xml:space="preserve">The 'Timber frame, screed ground floor' house (90 m², two storeys, 18 m² glazing, front faces south). An exposed dense layer of thickness t is added to the ground floor, the intermediate floor (a slab of thickness t), the partitions (2t thick) and the party wall. t = 0 swaps in board and chipboard.</t>
  </si>
  <si>
    <t xml:space="preserve">Hot year: TMYx +1.5 K June to August plus a +4 K heatwave bump over 14 to 21 July. 2050s: hot year +2.5 K summer, +1.5 K otherwise.</t>
  </si>
  <si>
    <t xml:space="preserve">Sheets:</t>
  </si>
  <si>
    <t xml:space="preserve">Diminishing returns: sweep A, nine thicknesses from 0 to 300 mm, with savings against t = 0 and the marginal gain per extra millimetre.</t>
  </si>
  <si>
    <t xml:space="preserve">Mass x night vent: sweep B, a 6 x 7 grid of night ventilation rate against exposed thickness, as heatmaps, plus an interpolator you can type into.</t>
  </si>
  <si>
    <t xml:space="preserve">Morris: sweep C, Morris screening of eight inputs for four outputs. μ* ranks how much each input moves the output over its full range; σ shows how much that effect depends on the other inputs.</t>
  </si>
  <si>
    <t xml:space="preserve">Packages: the 14 construction packages from the House Simulator, with the full model and the simpler 5R1C model side by side.</t>
  </si>
  <si>
    <t xml:space="preserve">Metrics:</t>
  </si>
  <si>
    <t xml:space="preserve">DH26: degree-hours above 26 °C operative, May to September. TM59 (b) style: night hours (23-07) above 26 °C, limit 32. TM59 (a) style: % of occupied hours 1 K or more over the adaptive limit, limit 3%. These are single-zone whole-house figures, so they indicate rather than test TM59 compliance.</t>
  </si>
  <si>
    <t xml:space="preserve">κ₁: areal heat capacity on the room side of each element (ISO 13786, 24 h), summed over all elements and divided by floor area.</t>
  </si>
  <si>
    <t xml:space="preserve">Colour key:</t>
  </si>
  <si>
    <t xml:space="preserve">Blue text on yellow: an input you can change.</t>
  </si>
  <si>
    <t xml:space="preserve">Black text on pale blue: a calculated result.</t>
  </si>
  <si>
    <t xml:space="preserve">Plain black: calculation steps and data.</t>
  </si>
  <si>
    <t xml:space="preserve">Sweep A: exposed thickness t</t>
  </si>
  <si>
    <t xml:space="preserve">Pasted results from models/sweeps.py (blue). Derived columns on the right are formulas.</t>
  </si>
  <si>
    <t xml:space="preserve">t mm</t>
  </si>
  <si>
    <t xml:space="preserve">κ₁ kJ/m²K per m² floor</t>
  </si>
  <si>
    <t xml:space="preserve">κ_tot kJ/m²K per m² floor</t>
  </si>
  <si>
    <t xml:space="preserve">Heat kWh/m² (typical)</t>
  </si>
  <si>
    <t xml:space="preserve">Peak heat kW</t>
  </si>
  <si>
    <t xml:space="preserve">DH26 hot, day purge</t>
  </si>
  <si>
    <t xml:space="preserve">DH26 hot, + night vent</t>
  </si>
  <si>
    <t xml:space="preserve">DH26 2050s, + night vent</t>
  </si>
  <si>
    <t xml:space="preserve">(b) night h hot + nv</t>
  </si>
  <si>
    <t xml:space="preserve">(a) % hot + nv</t>
  </si>
  <si>
    <t xml:space="preserve">T_op max hot + nv °C</t>
  </si>
  <si>
    <t xml:space="preserve">July swing hot + nv K</t>
  </si>
  <si>
    <t xml:space="preserve">Heat saving vs t=0</t>
  </si>
  <si>
    <t xml:space="preserve">Peak cut vs t=0</t>
  </si>
  <si>
    <t xml:space="preserve">DH26 cut (day) vs t=0</t>
  </si>
  <si>
    <t xml:space="preserve">DH26 cut (+nv) vs t=0</t>
  </si>
  <si>
    <t xml:space="preserve">Marginal DH26 (+nv) per mm</t>
  </si>
  <si>
    <t xml:space="preserve">Marginal DH26 per mm: degree-hours saved by each extra millimetre of exposed dense layer, between this row and the one above. It falls as t passes the daily penetration depth (about 100 to 150 mm in dense concrete).</t>
  </si>
  <si>
    <t xml:space="preserve">κ₁ peaks near t = 100 to 150 mm and then falls slightly: beyond the penetration depth extra mass adds total heat capacity but not daily admittance.</t>
  </si>
  <si>
    <t xml:space="preserve">Sweep B: night ventilation against exposed thickness (hot year)</t>
  </si>
  <si>
    <t xml:space="preserve">Degree-hours above 26 °C, May to September</t>
  </si>
  <si>
    <t xml:space="preserve">Night ACH \ t mm</t>
  </si>
  <si>
    <t xml:space="preserve">Reading down a column: ventilation at fixed mass. Reading across a row: mass at fixed ventilation. Mass does most when it is flushed at night.</t>
  </si>
  <si>
    <t xml:space="preserve">Night hours above 26 °C (TM59 (b) style, limit 32)</t>
  </si>
  <si>
    <t xml:space="preserve">Without night ventilation, mass holds heat into the night: (b) gets worse from t = 0 to 50 mm before improving.</t>
  </si>
  <si>
    <t xml:space="preserve">Relative benefit of mass: DH26 cut from t = 0 to t, at each ventilation rate</t>
  </si>
  <si>
    <t xml:space="preserve">Interpolator (bilinear within the grid)</t>
  </si>
  <si>
    <t xml:space="preserve">Exposed thickness t, mm</t>
  </si>
  <si>
    <t xml:space="preserve">col i</t>
  </si>
  <si>
    <t xml:space="preserve">Night ventilation, ACH</t>
  </si>
  <si>
    <t xml:space="preserve">row k</t>
  </si>
  <si>
    <t xml:space="preserve">DH26 hot year</t>
  </si>
  <si>
    <t xml:space="preserve">u</t>
  </si>
  <si>
    <t xml:space="preserve">Night hours &gt; 26 °C</t>
  </si>
  <si>
    <t xml:space="preserve">v</t>
  </si>
  <si>
    <t xml:space="preserve">Inputs outside the grid (0-300 mm, 0-5 ACH) are clamped to its edge. Interpolation is linear, so between coarse grid points it is approximate.</t>
  </si>
  <si>
    <t xml:space="preserve">Sweep C: Morris screening (10 trajectories, 4 levels, 8 inputs, 90 runs per weather)</t>
  </si>
  <si>
    <t xml:space="preserve">μ*: mean absolute elementary effect over the full input range (bigger = more influential). μ: signed mean (sign = direction). σ: spread (large = the effect depends on other inputs).</t>
  </si>
  <si>
    <t xml:space="preserve">Ranges: exposed mass t 0-0.3 m; glazing × 0.5-1.5; blind factor 0.2-1.0; day purge 0-6 ACH; night vent 0-4 ACH; background 0.3-1.0 ACH; gains × 0.6-1.4; wall insulation 0.09-0.24 m mineral wool.</t>
  </si>
  <si>
    <t xml:space="preserve">Degree-hours &gt; 26 °C, hot year</t>
  </si>
  <si>
    <t xml:space="preserve">Input</t>
  </si>
  <si>
    <t xml:space="preserve">μ*</t>
  </si>
  <si>
    <t xml:space="preserve">μ (signed)</t>
  </si>
  <si>
    <t xml:space="preserve">σ</t>
  </si>
  <si>
    <t xml:space="preserve">day purge ACH</t>
  </si>
  <si>
    <t xml:space="preserve">blind factor (closed)</t>
  </si>
  <si>
    <t xml:space="preserve">glazing area ×</t>
  </si>
  <si>
    <t xml:space="preserve">internal gains ×</t>
  </si>
  <si>
    <t xml:space="preserve">background ACH</t>
  </si>
  <si>
    <t xml:space="preserve">exposed mass t (m)</t>
  </si>
  <si>
    <t xml:space="preserve">night vent ACH</t>
  </si>
  <si>
    <t xml:space="preserve">wall insulation (m MW)</t>
  </si>
  <si>
    <t xml:space="preserve">Mass rank (1 = most influential)</t>
  </si>
  <si>
    <t xml:space="preserve">Night hours &gt; 26 °C, hot year</t>
  </si>
  <si>
    <t xml:space="preserve">Space heating kWh/m², typical year</t>
  </si>
  <si>
    <t xml:space="preserve">Peak heating kW, typical year</t>
  </si>
  <si>
    <t xml:space="preserve">Read-across: shading (blinds, glazing area) and day purge dominate summer outcomes; mass ranks mid-table for overheating but second (after background ventilation) for peak heating load, where it smooths the morning reheat.</t>
  </si>
  <si>
    <t xml:space="preserve">Construction packages: full fine-mesh model against 5R1C</t>
  </si>
  <si>
    <t xml:space="preserve">From models/packages.py with default House Simulator inputs. 'Full' keeps every layer of every element (fine mesh); 5R1C lumps the whole house into one mass node (ISO 13790).</t>
  </si>
  <si>
    <t xml:space="preserve">Package</t>
  </si>
  <si>
    <t xml:space="preserve">κ₁ per m² floor</t>
  </si>
  <si>
    <t xml:space="preserve">H fabric W/K</t>
  </si>
  <si>
    <t xml:space="preserve">Heat kWh/m² full</t>
  </si>
  <si>
    <t xml:space="preserve">Heat kWh/m² 5R1C</t>
  </si>
  <si>
    <t xml:space="preserve">Peak kW full</t>
  </si>
  <si>
    <t xml:space="preserve">Peak kW 5R1C</t>
  </si>
  <si>
    <t xml:space="preserve">DH26 hot full</t>
  </si>
  <si>
    <t xml:space="preserve">DH26 hot 5R1C</t>
  </si>
  <si>
    <t xml:space="preserve">DH26 hot+nv full</t>
  </si>
  <si>
    <t xml:space="preserve">DH26 hot+nv 5R1C</t>
  </si>
  <si>
    <t xml:space="preserve">(b) h hot+nv full</t>
  </si>
  <si>
    <t xml:space="preserve">(b) h hot+nv 5R1C</t>
  </si>
  <si>
    <t xml:space="preserve">DH26 2050s+nv full</t>
  </si>
  <si>
    <t xml:space="preserve">July swing hot+nv K</t>
  </si>
  <si>
    <t xml:space="preserve">5R1C/full heat</t>
  </si>
  <si>
    <t xml:space="preserve">5R1C/full DH26+nv</t>
  </si>
  <si>
    <t xml:space="preserve">Timber frame, suspended timber floor</t>
  </si>
  <si>
    <t xml:space="preserve">Timber frame, screed ground floor</t>
  </si>
  <si>
    <t xml:space="preserve">SIPs, screed ground floor</t>
  </si>
  <si>
    <t xml:space="preserve">Lined CLT, CLT floor</t>
  </si>
  <si>
    <t xml:space="preserve">Exposed CLT, CLT floor</t>
  </si>
  <si>
    <t xml:space="preserve">Masonry (aircrete, dabs), stud partitions</t>
  </si>
  <si>
    <t xml:space="preserve">Masonry (dense block, dabs), stud partitions</t>
  </si>
  <si>
    <t xml:space="preserve">Masonry (dense block, wet plaster), block partitions</t>
  </si>
  <si>
    <t xml:space="preserve">Heavyweight: dense masonry, exposed slab floors</t>
  </si>
  <si>
    <t xml:space="preserve">ICF, screed ground floor</t>
  </si>
  <si>
    <t xml:space="preserve">Hempcrete, screed ground floor</t>
  </si>
  <si>
    <t xml:space="preserve">Solid brick, uninsulated</t>
  </si>
  <si>
    <t xml:space="preserve">Solid brick + internal insulation</t>
  </si>
  <si>
    <t xml:space="preserve">Solid brick + external insulation</t>
  </si>
  <si>
    <t xml:space="preserve">The two models agree on heating to within about 10% (5R1C a little higher). In summer 5R1C under-rewards deep, well-ventilated mass (heavyweight with night vent: 1208 against 683 degree-hours) because one node cannot hold a night's coolth separately from the day's surface swing.</t>
  </si>
  <si>
    <t xml:space="preserve">The 'Solid brick, uninsulated' row is off-scale for heating and is left in for reference.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</si>
</sst>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"/>
    <numFmt numFmtId="167" formatCode="0.00"/>
    <numFmt numFmtId="168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6CC"/>
        <bgColor rgb="FFF9F9F9"/>
      </patternFill>
    </fill>
    <fill>
      <patternFill patternType="solid">
        <fgColor rgb="FFE8F1F6"/>
        <bgColor rgb="FFF9F9F9"/>
      </patternFill>
    </fill>
    <fill>
      <patternFill patternType="solid">
        <fgColor rgb="FF2F3B40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CED0"/>
      </left>
      <right style="thin">
        <color rgb="FFC8CED0"/>
      </right>
      <top style="thin">
        <color rgb="FFC8CED0"/>
      </top>
      <bottom style="thin">
        <color rgb="FFC8CE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0883D"/>
      <rgbColor rgb="FF800080"/>
      <rgbColor rgb="FF008080"/>
      <rgbColor rgb="FFC8CED0"/>
      <rgbColor rgb="FF878787"/>
      <rgbColor rgb="FFA5C073"/>
      <rgbColor rgb="FFC0504D"/>
      <rgbColor rgb="FFFFF6CC"/>
      <rgbColor rgb="FFE8F1F6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FDCBD"/>
      <rgbColor rgb="FFFFFF99"/>
      <rgbColor rgb="FFBBCE9E"/>
      <rgbColor rgb="FFFF99CC"/>
      <rgbColor rgb="FFB3C992"/>
      <rgbColor rgb="FFC0D2A7"/>
      <rgbColor rgb="FF3366FF"/>
      <rgbColor rgb="FF829E48"/>
      <rgbColor rgb="FF98B855"/>
      <rgbColor rgb="FFFFCC00"/>
      <rgbColor rgb="FF91B051"/>
      <rgbColor rgb="FFFF6600"/>
      <rgbColor rgb="FF4F81BD"/>
      <rgbColor rgb="FF87A44B"/>
      <rgbColor rgb="FF003366"/>
      <rgbColor rgb="FF7E9945"/>
      <rgbColor rgb="FF003300"/>
      <rgbColor rgb="FF333300"/>
      <rgbColor rgb="FF993300"/>
      <rgbColor rgb="FF993366"/>
      <rgbColor rgb="FF555555"/>
      <rgbColor rgb="FF2F3B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Overheating falls steadily with exposed mass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'Diminishing returns'!F4</c:f>
              <c:strCache>
                <c:ptCount val="1"/>
                <c:pt idx="0">
                  <c:v>DH26 hot, day purge</c:v>
                </c:pt>
              </c:strCache>
            </c:strRef>
          </c:tx>
          <c:spPr>
            <a:solidFill>
              <a:srgbClr val="7e9945"/>
            </a:solidFill>
            <a:ln w="47520">
              <a:solidFill>
                <a:srgbClr val="7e9945"/>
              </a:solidFill>
              <a:round/>
            </a:ln>
          </c:spPr>
          <c:marker>
            <c:symbol val="circle"/>
            <c:size val="5"/>
            <c:spPr>
              <a:solidFill>
                <a:srgbClr val="7e9945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'Diminishing returns'!$A$5:$A$13</c:f>
              <c:numCache>
                <c:formatCode>0</c:formatCode>
                <c:ptCount val="9"/>
                <c:pt idx="0">
                  <c:v>0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75</c:v>
                </c:pt>
                <c:pt idx="5">
                  <c:v>100</c:v>
                </c:pt>
                <c:pt idx="6">
                  <c:v>150</c:v>
                </c:pt>
                <c:pt idx="7">
                  <c:v>200</c:v>
                </c:pt>
                <c:pt idx="8">
                  <c:v>300</c:v>
                </c:pt>
              </c:numCache>
            </c:numRef>
          </c:xVal>
          <c:yVal>
            <c:numRef>
              <c:f>'Diminishing returns'!$F$5:$F$13</c:f>
              <c:numCache>
                <c:formatCode>0</c:formatCode>
                <c:ptCount val="9"/>
                <c:pt idx="0">
                  <c:v>2824.82273893669</c:v>
                </c:pt>
                <c:pt idx="1">
                  <c:v>2696.92272275874</c:v>
                </c:pt>
                <c:pt idx="2">
                  <c:v>2387.54942360435</c:v>
                </c:pt>
                <c:pt idx="3">
                  <c:v>2053.88949757752</c:v>
                </c:pt>
                <c:pt idx="4">
                  <c:v>1802.73562027774</c:v>
                </c:pt>
                <c:pt idx="5">
                  <c:v>1598.45701568814</c:v>
                </c:pt>
                <c:pt idx="6">
                  <c:v>1290.50210095321</c:v>
                </c:pt>
                <c:pt idx="7">
                  <c:v>1083.66047464722</c:v>
                </c:pt>
                <c:pt idx="8">
                  <c:v>824.928483762264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'Diminishing returns'!G4</c:f>
              <c:strCache>
                <c:ptCount val="1"/>
                <c:pt idx="0">
                  <c:v>DH26 hot, + night vent</c:v>
                </c:pt>
              </c:strCache>
            </c:strRef>
          </c:tx>
          <c:spPr>
            <a:solidFill>
              <a:srgbClr val="98b855"/>
            </a:solidFill>
            <a:ln w="47520">
              <a:solidFill>
                <a:srgbClr val="98b855"/>
              </a:solidFill>
              <a:round/>
            </a:ln>
          </c:spPr>
          <c:marker>
            <c:symbol val="circle"/>
            <c:size val="5"/>
            <c:spPr>
              <a:solidFill>
                <a:srgbClr val="98b855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'Diminishing returns'!$A$5:$A$13</c:f>
              <c:numCache>
                <c:formatCode>0</c:formatCode>
                <c:ptCount val="9"/>
                <c:pt idx="0">
                  <c:v>0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75</c:v>
                </c:pt>
                <c:pt idx="5">
                  <c:v>100</c:v>
                </c:pt>
                <c:pt idx="6">
                  <c:v>150</c:v>
                </c:pt>
                <c:pt idx="7">
                  <c:v>200</c:v>
                </c:pt>
                <c:pt idx="8">
                  <c:v>300</c:v>
                </c:pt>
              </c:numCache>
            </c:numRef>
          </c:xVal>
          <c:yVal>
            <c:numRef>
              <c:f>'Diminishing returns'!$G$5:$G$13</c:f>
              <c:numCache>
                <c:formatCode>0</c:formatCode>
                <c:ptCount val="9"/>
                <c:pt idx="0">
                  <c:v>2107.31662817488</c:v>
                </c:pt>
                <c:pt idx="1">
                  <c:v>1895.83583218918</c:v>
                </c:pt>
                <c:pt idx="2">
                  <c:v>1407.15235631317</c:v>
                </c:pt>
                <c:pt idx="3">
                  <c:v>1100.94786409403</c:v>
                </c:pt>
                <c:pt idx="4">
                  <c:v>912.866692567024</c:v>
                </c:pt>
                <c:pt idx="5">
                  <c:v>770.524975070502</c:v>
                </c:pt>
                <c:pt idx="6">
                  <c:v>549.095128040541</c:v>
                </c:pt>
                <c:pt idx="7">
                  <c:v>389.215438780896</c:v>
                </c:pt>
                <c:pt idx="8">
                  <c:v>192.003266863699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'Diminishing returns'!H4</c:f>
              <c:strCache>
                <c:ptCount val="1"/>
                <c:pt idx="0">
                  <c:v>DH26 2050s, + night vent</c:v>
                </c:pt>
              </c:strCache>
            </c:strRef>
          </c:tx>
          <c:spPr>
            <a:solidFill>
              <a:srgbClr val="c0d2a7"/>
            </a:solidFill>
            <a:ln w="47520">
              <a:solidFill>
                <a:srgbClr val="c0d2a7"/>
              </a:solidFill>
              <a:round/>
            </a:ln>
          </c:spPr>
          <c:marker>
            <c:symbol val="circle"/>
            <c:size val="5"/>
            <c:spPr>
              <a:solidFill>
                <a:srgbClr val="c0d2a7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'Diminishing returns'!$A$5:$A$13</c:f>
              <c:numCache>
                <c:formatCode>0</c:formatCode>
                <c:ptCount val="9"/>
                <c:pt idx="0">
                  <c:v>0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75</c:v>
                </c:pt>
                <c:pt idx="5">
                  <c:v>100</c:v>
                </c:pt>
                <c:pt idx="6">
                  <c:v>150</c:v>
                </c:pt>
                <c:pt idx="7">
                  <c:v>200</c:v>
                </c:pt>
                <c:pt idx="8">
                  <c:v>300</c:v>
                </c:pt>
              </c:numCache>
            </c:numRef>
          </c:xVal>
          <c:yVal>
            <c:numRef>
              <c:f>'Diminishing returns'!$H$5:$H$13</c:f>
              <c:numCache>
                <c:formatCode>0</c:formatCode>
                <c:ptCount val="9"/>
                <c:pt idx="0">
                  <c:v>4288.57603660105</c:v>
                </c:pt>
                <c:pt idx="1">
                  <c:v>3998.79037235424</c:v>
                </c:pt>
                <c:pt idx="2">
                  <c:v>3345.30492560341</c:v>
                </c:pt>
                <c:pt idx="3">
                  <c:v>2927.11510420125</c:v>
                </c:pt>
                <c:pt idx="4">
                  <c:v>2661.0475348991</c:v>
                </c:pt>
                <c:pt idx="5">
                  <c:v>2464.64959281893</c:v>
                </c:pt>
                <c:pt idx="6">
                  <c:v>2182.87269603139</c:v>
                </c:pt>
                <c:pt idx="7">
                  <c:v>1991.29711799682</c:v>
                </c:pt>
                <c:pt idx="8">
                  <c:v>1754.98072534313</c:v>
                </c:pt>
              </c:numCache>
            </c:numRef>
          </c:yVal>
          <c:smooth val="1"/>
        </c:ser>
        <c:axId val="21290621"/>
        <c:axId val="76988394"/>
      </c:scatterChart>
      <c:valAx>
        <c:axId val="2129062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Exposed thickness t, mm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988394"/>
        <c:crosses val="autoZero"/>
        <c:crossBetween val="midCat"/>
      </c:valAx>
      <c:valAx>
        <c:axId val="769883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Degree-hours &gt; 26 °C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290621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Heating savings flatten by about 50 mm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'Diminishing returns'!D4</c:f>
              <c:strCache>
                <c:ptCount val="1"/>
                <c:pt idx="0">
                  <c:v>Heat kWh/m² (typical)</c:v>
                </c:pt>
              </c:strCache>
            </c:strRef>
          </c:tx>
          <c:spPr>
            <a:solidFill>
              <a:srgbClr val="87a44b"/>
            </a:solidFill>
            <a:ln w="47520">
              <a:solidFill>
                <a:srgbClr val="87a44b"/>
              </a:solidFill>
              <a:round/>
            </a:ln>
          </c:spPr>
          <c:marker>
            <c:symbol val="circle"/>
            <c:size val="5"/>
            <c:spPr>
              <a:solidFill>
                <a:srgbClr val="87a44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'Diminishing returns'!$A$5:$A$13</c:f>
              <c:numCache>
                <c:formatCode>0</c:formatCode>
                <c:ptCount val="9"/>
                <c:pt idx="0">
                  <c:v>0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75</c:v>
                </c:pt>
                <c:pt idx="5">
                  <c:v>100</c:v>
                </c:pt>
                <c:pt idx="6">
                  <c:v>150</c:v>
                </c:pt>
                <c:pt idx="7">
                  <c:v>200</c:v>
                </c:pt>
                <c:pt idx="8">
                  <c:v>300</c:v>
                </c:pt>
              </c:numCache>
            </c:numRef>
          </c:xVal>
          <c:yVal>
            <c:numRef>
              <c:f>'Diminishing returns'!$D$5:$D$13</c:f>
              <c:numCache>
                <c:formatCode>0.0</c:formatCode>
                <c:ptCount val="9"/>
                <c:pt idx="0">
                  <c:v>23.7897825834294</c:v>
                </c:pt>
                <c:pt idx="1">
                  <c:v>23.6004723604577</c:v>
                </c:pt>
                <c:pt idx="2">
                  <c:v>21.250793769064</c:v>
                </c:pt>
                <c:pt idx="3">
                  <c:v>20.1940967272152</c:v>
                </c:pt>
                <c:pt idx="4">
                  <c:v>19.9905038180273</c:v>
                </c:pt>
                <c:pt idx="5">
                  <c:v>19.9060087866261</c:v>
                </c:pt>
                <c:pt idx="6">
                  <c:v>19.8656296485074</c:v>
                </c:pt>
                <c:pt idx="7">
                  <c:v>19.8960222993081</c:v>
                </c:pt>
                <c:pt idx="8">
                  <c:v>20.06733849897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'Diminishing returns'!E4</c:f>
              <c:strCache>
                <c:ptCount val="1"/>
                <c:pt idx="0">
                  <c:v>Peak heat kW</c:v>
                </c:pt>
              </c:strCache>
            </c:strRef>
          </c:tx>
          <c:spPr>
            <a:solidFill>
              <a:srgbClr val="b3c992"/>
            </a:solidFill>
            <a:ln w="47520">
              <a:solidFill>
                <a:srgbClr val="b3c992"/>
              </a:solidFill>
              <a:round/>
            </a:ln>
          </c:spPr>
          <c:marker>
            <c:symbol val="circle"/>
            <c:size val="5"/>
            <c:spPr>
              <a:solidFill>
                <a:srgbClr val="b3c992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'Diminishing returns'!$A$5:$A$13</c:f>
              <c:numCache>
                <c:formatCode>0</c:formatCode>
                <c:ptCount val="9"/>
                <c:pt idx="0">
                  <c:v>0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75</c:v>
                </c:pt>
                <c:pt idx="5">
                  <c:v>100</c:v>
                </c:pt>
                <c:pt idx="6">
                  <c:v>150</c:v>
                </c:pt>
                <c:pt idx="7">
                  <c:v>200</c:v>
                </c:pt>
                <c:pt idx="8">
                  <c:v>300</c:v>
                </c:pt>
              </c:numCache>
            </c:numRef>
          </c:xVal>
          <c:yVal>
            <c:numRef>
              <c:f>'Diminishing returns'!$E$5:$E$13</c:f>
              <c:numCache>
                <c:formatCode>0.00</c:formatCode>
                <c:ptCount val="9"/>
                <c:pt idx="0">
                  <c:v>5.69572190946552</c:v>
                </c:pt>
                <c:pt idx="1">
                  <c:v>5.90222519331494</c:v>
                </c:pt>
                <c:pt idx="2">
                  <c:v>5.61018216277407</c:v>
                </c:pt>
                <c:pt idx="3">
                  <c:v>4.95551141524245</c:v>
                </c:pt>
                <c:pt idx="4">
                  <c:v>4.55264383992202</c:v>
                </c:pt>
                <c:pt idx="5">
                  <c:v>4.32204917550761</c:v>
                </c:pt>
                <c:pt idx="6">
                  <c:v>4.0795844649183</c:v>
                </c:pt>
                <c:pt idx="7">
                  <c:v>4.06051957511715</c:v>
                </c:pt>
                <c:pt idx="8">
                  <c:v>4.05610650916379</c:v>
                </c:pt>
              </c:numCache>
            </c:numRef>
          </c:yVal>
          <c:smooth val="1"/>
        </c:ser>
        <c:axId val="19000064"/>
        <c:axId val="70714681"/>
      </c:scatterChart>
      <c:valAx>
        <c:axId val="1900006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Exposed thickness t, mm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714681"/>
        <c:crosses val="autoZero"/>
        <c:crossBetween val="midCat"/>
      </c:valAx>
      <c:valAx>
        <c:axId val="707146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kWh/m² or kW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000064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Daily admittance saturates; total capacity keeps rising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'Diminishing returns'!B4</c:f>
              <c:strCache>
                <c:ptCount val="1"/>
                <c:pt idx="0">
                  <c:v>κ₁ kJ/m²K per m² floor</c:v>
                </c:pt>
              </c:strCache>
            </c:strRef>
          </c:tx>
          <c:spPr>
            <a:solidFill>
              <a:srgbClr val="87a44b"/>
            </a:solidFill>
            <a:ln w="47520">
              <a:solidFill>
                <a:srgbClr val="87a44b"/>
              </a:solidFill>
              <a:round/>
            </a:ln>
          </c:spPr>
          <c:marker>
            <c:symbol val="circle"/>
            <c:size val="5"/>
            <c:spPr>
              <a:solidFill>
                <a:srgbClr val="87a44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'Diminishing returns'!$A$5:$A$13</c:f>
              <c:numCache>
                <c:formatCode>0</c:formatCode>
                <c:ptCount val="9"/>
                <c:pt idx="0">
                  <c:v>0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75</c:v>
                </c:pt>
                <c:pt idx="5">
                  <c:v>100</c:v>
                </c:pt>
                <c:pt idx="6">
                  <c:v>150</c:v>
                </c:pt>
                <c:pt idx="7">
                  <c:v>200</c:v>
                </c:pt>
                <c:pt idx="8">
                  <c:v>300</c:v>
                </c:pt>
              </c:numCache>
            </c:numRef>
          </c:xVal>
          <c:yVal>
            <c:numRef>
              <c:f>'Diminishing returns'!$B$5:$B$13</c:f>
              <c:numCache>
                <c:formatCode>0</c:formatCode>
                <c:ptCount val="9"/>
                <c:pt idx="0">
                  <c:v>69.3925782239218</c:v>
                </c:pt>
                <c:pt idx="1">
                  <c:v>84.2742925098572</c:v>
                </c:pt>
                <c:pt idx="2">
                  <c:v>162.520941512913</c:v>
                </c:pt>
                <c:pt idx="3">
                  <c:v>234.39189214793</c:v>
                </c:pt>
                <c:pt idx="4">
                  <c:v>262.864255162033</c:v>
                </c:pt>
                <c:pt idx="5">
                  <c:v>273.207287549143</c:v>
                </c:pt>
                <c:pt idx="6">
                  <c:v>275.263026662471</c:v>
                </c:pt>
                <c:pt idx="7">
                  <c:v>270.601030342791</c:v>
                </c:pt>
                <c:pt idx="8">
                  <c:v>262.587929606727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'Diminishing returns'!C4</c:f>
              <c:strCache>
                <c:ptCount val="1"/>
                <c:pt idx="0">
                  <c:v>κ_tot kJ/m²K per m² floor</c:v>
                </c:pt>
              </c:strCache>
            </c:strRef>
          </c:tx>
          <c:spPr>
            <a:solidFill>
              <a:srgbClr val="b3c992"/>
            </a:solidFill>
            <a:ln w="47520">
              <a:solidFill>
                <a:srgbClr val="b3c992"/>
              </a:solidFill>
              <a:round/>
            </a:ln>
          </c:spPr>
          <c:marker>
            <c:symbol val="circle"/>
            <c:size val="5"/>
            <c:spPr>
              <a:solidFill>
                <a:srgbClr val="b3c992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'Diminishing returns'!$A$5:$A$13</c:f>
              <c:numCache>
                <c:formatCode>0</c:formatCode>
                <c:ptCount val="9"/>
                <c:pt idx="0">
                  <c:v>0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75</c:v>
                </c:pt>
                <c:pt idx="5">
                  <c:v>100</c:v>
                </c:pt>
                <c:pt idx="6">
                  <c:v>150</c:v>
                </c:pt>
                <c:pt idx="7">
                  <c:v>200</c:v>
                </c:pt>
                <c:pt idx="8">
                  <c:v>300</c:v>
                </c:pt>
              </c:numCache>
            </c:numRef>
          </c:xVal>
          <c:yVal>
            <c:numRef>
              <c:f>'Diminishing returns'!$C$5:$C$13</c:f>
              <c:numCache>
                <c:formatCode>0</c:formatCode>
                <c:ptCount val="9"/>
                <c:pt idx="0">
                  <c:v>337.065033333333</c:v>
                </c:pt>
                <c:pt idx="1">
                  <c:v>352.722033333333</c:v>
                </c:pt>
                <c:pt idx="2">
                  <c:v>452.322033333333</c:v>
                </c:pt>
                <c:pt idx="3">
                  <c:v>618.322033333333</c:v>
                </c:pt>
                <c:pt idx="4">
                  <c:v>784.322033333333</c:v>
                </c:pt>
                <c:pt idx="5">
                  <c:v>950.322033333333</c:v>
                </c:pt>
                <c:pt idx="6">
                  <c:v>1282.32203333333</c:v>
                </c:pt>
                <c:pt idx="7">
                  <c:v>1614.32203333333</c:v>
                </c:pt>
                <c:pt idx="8">
                  <c:v>2278.32203333333</c:v>
                </c:pt>
              </c:numCache>
            </c:numRef>
          </c:yVal>
          <c:smooth val="1"/>
        </c:ser>
        <c:axId val="72704178"/>
        <c:axId val="89219842"/>
      </c:scatterChart>
      <c:valAx>
        <c:axId val="7270417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Exposed thickness t, mm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219842"/>
        <c:crosses val="autoZero"/>
        <c:crossBetween val="midCat"/>
      </c:valAx>
      <c:valAx>
        <c:axId val="892198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kJ/m²K per m² floor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704178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Peak temperature and July swing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'Diminishing returns'!K4</c:f>
              <c:strCache>
                <c:ptCount val="1"/>
                <c:pt idx="0">
                  <c:v>T_op max hot + nv °C</c:v>
                </c:pt>
              </c:strCache>
            </c:strRef>
          </c:tx>
          <c:spPr>
            <a:solidFill>
              <a:srgbClr val="87a44b"/>
            </a:solidFill>
            <a:ln w="47520">
              <a:solidFill>
                <a:srgbClr val="87a44b"/>
              </a:solidFill>
              <a:round/>
            </a:ln>
          </c:spPr>
          <c:marker>
            <c:symbol val="circle"/>
            <c:size val="5"/>
            <c:spPr>
              <a:solidFill>
                <a:srgbClr val="87a44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'Diminishing returns'!$A$5:$A$13</c:f>
              <c:numCache>
                <c:formatCode>0</c:formatCode>
                <c:ptCount val="9"/>
                <c:pt idx="0">
                  <c:v>0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75</c:v>
                </c:pt>
                <c:pt idx="5">
                  <c:v>100</c:v>
                </c:pt>
                <c:pt idx="6">
                  <c:v>150</c:v>
                </c:pt>
                <c:pt idx="7">
                  <c:v>200</c:v>
                </c:pt>
                <c:pt idx="8">
                  <c:v>300</c:v>
                </c:pt>
              </c:numCache>
            </c:numRef>
          </c:xVal>
          <c:yVal>
            <c:numRef>
              <c:f>'Diminishing returns'!$K$5:$K$13</c:f>
              <c:numCache>
                <c:formatCode>0.0</c:formatCode>
                <c:ptCount val="9"/>
                <c:pt idx="0">
                  <c:v>38.9081960514472</c:v>
                </c:pt>
                <c:pt idx="1">
                  <c:v>38.2667709060503</c:v>
                </c:pt>
                <c:pt idx="2">
                  <c:v>36.2601142993616</c:v>
                </c:pt>
                <c:pt idx="3">
                  <c:v>34.1038484834954</c:v>
                </c:pt>
                <c:pt idx="4">
                  <c:v>32.6440156817854</c:v>
                </c:pt>
                <c:pt idx="5">
                  <c:v>31.6512823995488</c:v>
                </c:pt>
                <c:pt idx="6">
                  <c:v>30.3936970977395</c:v>
                </c:pt>
                <c:pt idx="7">
                  <c:v>29.4397709962599</c:v>
                </c:pt>
                <c:pt idx="8">
                  <c:v>28.2335582070944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'Diminishing returns'!L4</c:f>
              <c:strCache>
                <c:ptCount val="1"/>
                <c:pt idx="0">
                  <c:v>July swing hot + nv K</c:v>
                </c:pt>
              </c:strCache>
            </c:strRef>
          </c:tx>
          <c:spPr>
            <a:solidFill>
              <a:srgbClr val="b3c992"/>
            </a:solidFill>
            <a:ln w="47520">
              <a:solidFill>
                <a:srgbClr val="b3c992"/>
              </a:solidFill>
              <a:round/>
            </a:ln>
          </c:spPr>
          <c:marker>
            <c:symbol val="circle"/>
            <c:size val="5"/>
            <c:spPr>
              <a:solidFill>
                <a:srgbClr val="b3c992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'Diminishing returns'!$A$5:$A$13</c:f>
              <c:numCache>
                <c:formatCode>0</c:formatCode>
                <c:ptCount val="9"/>
                <c:pt idx="0">
                  <c:v>0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75</c:v>
                </c:pt>
                <c:pt idx="5">
                  <c:v>100</c:v>
                </c:pt>
                <c:pt idx="6">
                  <c:v>150</c:v>
                </c:pt>
                <c:pt idx="7">
                  <c:v>200</c:v>
                </c:pt>
                <c:pt idx="8">
                  <c:v>300</c:v>
                </c:pt>
              </c:numCache>
            </c:numRef>
          </c:xVal>
          <c:yVal>
            <c:numRef>
              <c:f>'Diminishing returns'!$L$5:$L$13</c:f>
              <c:numCache>
                <c:formatCode>0.0</c:formatCode>
                <c:ptCount val="9"/>
                <c:pt idx="0">
                  <c:v>5.34339828846409</c:v>
                </c:pt>
                <c:pt idx="1">
                  <c:v>4.71055180826212</c:v>
                </c:pt>
                <c:pt idx="2">
                  <c:v>2.8808298512922</c:v>
                </c:pt>
                <c:pt idx="3">
                  <c:v>2.03837281478834</c:v>
                </c:pt>
                <c:pt idx="4">
                  <c:v>1.72827135260625</c:v>
                </c:pt>
                <c:pt idx="5">
                  <c:v>1.56825092922128</c:v>
                </c:pt>
                <c:pt idx="6">
                  <c:v>1.39112702640941</c:v>
                </c:pt>
                <c:pt idx="7">
                  <c:v>1.30340688871728</c:v>
                </c:pt>
                <c:pt idx="8">
                  <c:v>1.2466012495252</c:v>
                </c:pt>
              </c:numCache>
            </c:numRef>
          </c:yVal>
          <c:smooth val="1"/>
        </c:ser>
        <c:axId val="96045736"/>
        <c:axId val="35159282"/>
      </c:scatterChart>
      <c:valAx>
        <c:axId val="9604573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Exposed thickness t, mm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159282"/>
        <c:crosses val="autoZero"/>
        <c:crossBetween val="midCat"/>
      </c:valAx>
      <c:valAx>
        <c:axId val="3515928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°C or 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045736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DH26 against exposed thickness, one line per night ventilation rate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"0 ACH"</c:f>
              <c:strCache>
                <c:ptCount val="1"/>
                <c:pt idx="0">
                  <c:v>0 ACH</c:v>
                </c:pt>
              </c:strCache>
            </c:strRef>
          </c:tx>
          <c:spPr>
            <a:solidFill>
              <a:srgbClr val="70883d"/>
            </a:solidFill>
            <a:ln w="47520">
              <a:solidFill>
                <a:srgbClr val="70883d"/>
              </a:solidFill>
              <a:round/>
            </a:ln>
          </c:spPr>
          <c:marker>
            <c:symbol val="circle"/>
            <c:size val="5"/>
            <c:spPr>
              <a:solidFill>
                <a:srgbClr val="70883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'Mass x night vent'!$B$4:$H$4</c:f>
              <c:numCache>
                <c:formatCode>0</c:formatCode>
                <c:ptCount val="7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100</c:v>
                </c:pt>
                <c:pt idx="4">
                  <c:v>150</c:v>
                </c:pt>
                <c:pt idx="5">
                  <c:v>200</c:v>
                </c:pt>
                <c:pt idx="6">
                  <c:v>300</c:v>
                </c:pt>
              </c:numCache>
            </c:numRef>
          </c:xVal>
          <c:yVal>
            <c:numRef>
              <c:f>'Mass x night vent'!$B$5:$H$5</c:f>
              <c:numCache>
                <c:formatCode>0</c:formatCode>
                <c:ptCount val="7"/>
                <c:pt idx="0">
                  <c:v>2824.82273893669</c:v>
                </c:pt>
                <c:pt idx="1">
                  <c:v>2387.54942360435</c:v>
                </c:pt>
                <c:pt idx="2">
                  <c:v>2053.88949757752</c:v>
                </c:pt>
                <c:pt idx="3">
                  <c:v>1598.45701568814</c:v>
                </c:pt>
                <c:pt idx="4">
                  <c:v>1290.50210095321</c:v>
                </c:pt>
                <c:pt idx="5">
                  <c:v>1083.66047464722</c:v>
                </c:pt>
                <c:pt idx="6">
                  <c:v>824.928483762264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"0.5 ACH"</c:f>
              <c:strCache>
                <c:ptCount val="1"/>
                <c:pt idx="0">
                  <c:v>0.5 ACH</c:v>
                </c:pt>
              </c:strCache>
            </c:strRef>
          </c:tx>
          <c:spPr>
            <a:solidFill>
              <a:srgbClr val="829e48"/>
            </a:solidFill>
            <a:ln w="47520">
              <a:solidFill>
                <a:srgbClr val="829e48"/>
              </a:solidFill>
              <a:round/>
            </a:ln>
          </c:spPr>
          <c:marker>
            <c:symbol val="circle"/>
            <c:size val="5"/>
            <c:spPr>
              <a:solidFill>
                <a:srgbClr val="829e4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'Mass x night vent'!$B$4:$H$4</c:f>
              <c:numCache>
                <c:formatCode>0</c:formatCode>
                <c:ptCount val="7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100</c:v>
                </c:pt>
                <c:pt idx="4">
                  <c:v>150</c:v>
                </c:pt>
                <c:pt idx="5">
                  <c:v>200</c:v>
                </c:pt>
                <c:pt idx="6">
                  <c:v>300</c:v>
                </c:pt>
              </c:numCache>
            </c:numRef>
          </c:xVal>
          <c:yVal>
            <c:numRef>
              <c:f>'Mass x night vent'!$B$6:$H$6</c:f>
              <c:numCache>
                <c:formatCode>0</c:formatCode>
                <c:ptCount val="7"/>
                <c:pt idx="0">
                  <c:v>2539.46645561287</c:v>
                </c:pt>
                <c:pt idx="1">
                  <c:v>2012.3365711758</c:v>
                </c:pt>
                <c:pt idx="2">
                  <c:v>1683.75874738548</c:v>
                </c:pt>
                <c:pt idx="3">
                  <c:v>1261.76518014336</c:v>
                </c:pt>
                <c:pt idx="4">
                  <c:v>986.957111048987</c:v>
                </c:pt>
                <c:pt idx="5">
                  <c:v>795.917525887083</c:v>
                </c:pt>
                <c:pt idx="6">
                  <c:v>544.159001056156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"1 ACH"</c:f>
              <c:strCache>
                <c:ptCount val="1"/>
                <c:pt idx="0">
                  <c:v>1 ACH</c:v>
                </c:pt>
              </c:strCache>
            </c:strRef>
          </c:tx>
          <c:spPr>
            <a:solidFill>
              <a:srgbClr val="91b051"/>
            </a:solidFill>
            <a:ln w="47520">
              <a:solidFill>
                <a:srgbClr val="91b051"/>
              </a:solidFill>
              <a:round/>
            </a:ln>
          </c:spPr>
          <c:marker>
            <c:symbol val="circle"/>
            <c:size val="5"/>
            <c:spPr>
              <a:solidFill>
                <a:srgbClr val="91b051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'Mass x night vent'!$B$4:$H$4</c:f>
              <c:numCache>
                <c:formatCode>0</c:formatCode>
                <c:ptCount val="7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100</c:v>
                </c:pt>
                <c:pt idx="4">
                  <c:v>150</c:v>
                </c:pt>
                <c:pt idx="5">
                  <c:v>200</c:v>
                </c:pt>
                <c:pt idx="6">
                  <c:v>300</c:v>
                </c:pt>
              </c:numCache>
            </c:numRef>
          </c:xVal>
          <c:yVal>
            <c:numRef>
              <c:f>'Mass x night vent'!$B$7:$H$7</c:f>
              <c:numCache>
                <c:formatCode>0</c:formatCode>
                <c:ptCount val="7"/>
                <c:pt idx="0">
                  <c:v>2341.52175271689</c:v>
                </c:pt>
                <c:pt idx="1">
                  <c:v>1749.36526934477</c:v>
                </c:pt>
                <c:pt idx="2">
                  <c:v>1424.24634967388</c:v>
                </c:pt>
                <c:pt idx="3">
                  <c:v>1041.02173606518</c:v>
                </c:pt>
                <c:pt idx="4">
                  <c:v>794.74292089504</c:v>
                </c:pt>
                <c:pt idx="5">
                  <c:v>614.038848069647</c:v>
                </c:pt>
                <c:pt idx="6">
                  <c:v>378.605352846103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"2 ACH"</c:f>
              <c:strCache>
                <c:ptCount val="1"/>
                <c:pt idx="0">
                  <c:v>2 ACH</c:v>
                </c:pt>
              </c:strCache>
            </c:strRef>
          </c:tx>
          <c:spPr>
            <a:solidFill>
              <a:srgbClr val="a5c073"/>
            </a:solidFill>
            <a:ln w="47520">
              <a:solidFill>
                <a:srgbClr val="a5c073"/>
              </a:solidFill>
              <a:round/>
            </a:ln>
          </c:spPr>
          <c:marker>
            <c:symbol val="circle"/>
            <c:size val="5"/>
            <c:spPr>
              <a:solidFill>
                <a:srgbClr val="a5c07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'Mass x night vent'!$B$4:$H$4</c:f>
              <c:numCache>
                <c:formatCode>0</c:formatCode>
                <c:ptCount val="7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100</c:v>
                </c:pt>
                <c:pt idx="4">
                  <c:v>150</c:v>
                </c:pt>
                <c:pt idx="5">
                  <c:v>200</c:v>
                </c:pt>
                <c:pt idx="6">
                  <c:v>300</c:v>
                </c:pt>
              </c:numCache>
            </c:numRef>
          </c:xVal>
          <c:yVal>
            <c:numRef>
              <c:f>'Mass x night vent'!$B$8:$H$8</c:f>
              <c:numCache>
                <c:formatCode>0</c:formatCode>
                <c:ptCount val="7"/>
                <c:pt idx="0">
                  <c:v>2107.31662817488</c:v>
                </c:pt>
                <c:pt idx="1">
                  <c:v>1407.15235631317</c:v>
                </c:pt>
                <c:pt idx="2">
                  <c:v>1100.94786409403</c:v>
                </c:pt>
                <c:pt idx="3">
                  <c:v>770.524975070502</c:v>
                </c:pt>
                <c:pt idx="4">
                  <c:v>549.095128040541</c:v>
                </c:pt>
                <c:pt idx="5">
                  <c:v>389.215438780896</c:v>
                </c:pt>
                <c:pt idx="6">
                  <c:v>192.003266863699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"3 ACH"</c:f>
              <c:strCache>
                <c:ptCount val="1"/>
                <c:pt idx="0">
                  <c:v>3 ACH</c:v>
                </c:pt>
              </c:strCache>
            </c:strRef>
          </c:tx>
          <c:spPr>
            <a:solidFill>
              <a:srgbClr val="bbce9e"/>
            </a:solidFill>
            <a:ln w="47520">
              <a:solidFill>
                <a:srgbClr val="bbce9e"/>
              </a:solidFill>
              <a:round/>
            </a:ln>
          </c:spPr>
          <c:marker>
            <c:symbol val="circle"/>
            <c:size val="5"/>
            <c:spPr>
              <a:solidFill>
                <a:srgbClr val="bbce9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'Mass x night vent'!$B$4:$H$4</c:f>
              <c:numCache>
                <c:formatCode>0</c:formatCode>
                <c:ptCount val="7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100</c:v>
                </c:pt>
                <c:pt idx="4">
                  <c:v>150</c:v>
                </c:pt>
                <c:pt idx="5">
                  <c:v>200</c:v>
                </c:pt>
                <c:pt idx="6">
                  <c:v>300</c:v>
                </c:pt>
              </c:numCache>
            </c:numRef>
          </c:xVal>
          <c:yVal>
            <c:numRef>
              <c:f>'Mass x night vent'!$B$9:$H$9</c:f>
              <c:numCache>
                <c:formatCode>0</c:formatCode>
                <c:ptCount val="7"/>
                <c:pt idx="0">
                  <c:v>1971.59075018582</c:v>
                </c:pt>
                <c:pt idx="1">
                  <c:v>1194.83297355525</c:v>
                </c:pt>
                <c:pt idx="2">
                  <c:v>907.393457753345</c:v>
                </c:pt>
                <c:pt idx="3">
                  <c:v>617.235728835338</c:v>
                </c:pt>
                <c:pt idx="4">
                  <c:v>419.78291262036</c:v>
                </c:pt>
                <c:pt idx="5">
                  <c:v>279.03464567903</c:v>
                </c:pt>
                <c:pt idx="6">
                  <c:v>113.714022304446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"5 ACH"</c:f>
              <c:strCache>
                <c:ptCount val="1"/>
                <c:pt idx="0">
                  <c:v>5 ACH</c:v>
                </c:pt>
              </c:strCache>
            </c:strRef>
          </c:tx>
          <c:spPr>
            <a:solidFill>
              <a:srgbClr val="cfdcbd"/>
            </a:solidFill>
            <a:ln w="47520">
              <a:solidFill>
                <a:srgbClr val="cfdcbd"/>
              </a:solidFill>
              <a:round/>
            </a:ln>
          </c:spPr>
          <c:marker>
            <c:symbol val="circle"/>
            <c:size val="5"/>
            <c:spPr>
              <a:solidFill>
                <a:srgbClr val="cfdc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'Mass x night vent'!$B$4:$H$4</c:f>
              <c:numCache>
                <c:formatCode>0</c:formatCode>
                <c:ptCount val="7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100</c:v>
                </c:pt>
                <c:pt idx="4">
                  <c:v>150</c:v>
                </c:pt>
                <c:pt idx="5">
                  <c:v>200</c:v>
                </c:pt>
                <c:pt idx="6">
                  <c:v>300</c:v>
                </c:pt>
              </c:numCache>
            </c:numRef>
          </c:xVal>
          <c:yVal>
            <c:numRef>
              <c:f>'Mass x night vent'!$B$10:$H$10</c:f>
              <c:numCache>
                <c:formatCode>0</c:formatCode>
                <c:ptCount val="7"/>
                <c:pt idx="0">
                  <c:v>1826.87165432071</c:v>
                </c:pt>
                <c:pt idx="1">
                  <c:v>943.514650795282</c:v>
                </c:pt>
                <c:pt idx="2">
                  <c:v>697.231655952178</c:v>
                </c:pt>
                <c:pt idx="3">
                  <c:v>455.614099974502</c:v>
                </c:pt>
                <c:pt idx="4">
                  <c:v>300.801366281284</c:v>
                </c:pt>
                <c:pt idx="5">
                  <c:v>188.735993486345</c:v>
                </c:pt>
                <c:pt idx="6">
                  <c:v>76.0933946660065</c:v>
                </c:pt>
              </c:numCache>
            </c:numRef>
          </c:yVal>
          <c:smooth val="1"/>
        </c:ser>
        <c:axId val="45906065"/>
        <c:axId val="28162367"/>
      </c:scatterChart>
      <c:valAx>
        <c:axId val="4590606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Exposed thickness t, mm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162367"/>
        <c:crosses val="autoZero"/>
        <c:crossBetween val="midCat"/>
      </c:valAx>
      <c:valAx>
        <c:axId val="281623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Degree-hours &gt; 26 °C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906065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Degree-hours &gt; 26 °C, hot year: μ*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Morris!B6</c:f>
              <c:strCache>
                <c:ptCount val="1"/>
                <c:pt idx="0">
                  <c:v>μ*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Morris!$A$7:$A$14</c:f>
              <c:strCache>
                <c:ptCount val="8"/>
                <c:pt idx="0">
                  <c:v>day purge ACH</c:v>
                </c:pt>
                <c:pt idx="1">
                  <c:v>blind factor (closed)</c:v>
                </c:pt>
                <c:pt idx="2">
                  <c:v>glazing area ×</c:v>
                </c:pt>
                <c:pt idx="3">
                  <c:v>internal gains ×</c:v>
                </c:pt>
                <c:pt idx="4">
                  <c:v>background ACH</c:v>
                </c:pt>
                <c:pt idx="5">
                  <c:v>exposed mass t (m)</c:v>
                </c:pt>
                <c:pt idx="6">
                  <c:v>night vent ACH</c:v>
                </c:pt>
                <c:pt idx="7">
                  <c:v>wall insulation (m MW)</c:v>
                </c:pt>
              </c:strCache>
            </c:strRef>
          </c:cat>
          <c:val>
            <c:numRef>
              <c:f>Morris!$B$7:$B$14</c:f>
              <c:numCache>
                <c:formatCode>0</c:formatCode>
                <c:ptCount val="8"/>
                <c:pt idx="0">
                  <c:v>3534.01584635494</c:v>
                </c:pt>
                <c:pt idx="1">
                  <c:v>2197.99659632747</c:v>
                </c:pt>
                <c:pt idx="2">
                  <c:v>1639.74907824834</c:v>
                </c:pt>
                <c:pt idx="3">
                  <c:v>1126.17238033735</c:v>
                </c:pt>
                <c:pt idx="4">
                  <c:v>843.201931573984</c:v>
                </c:pt>
                <c:pt idx="5">
                  <c:v>751.868957450101</c:v>
                </c:pt>
                <c:pt idx="6">
                  <c:v>603.922294934671</c:v>
                </c:pt>
                <c:pt idx="7">
                  <c:v>193.915890495721</c:v>
                </c:pt>
              </c:numCache>
            </c:numRef>
          </c:val>
        </c:ser>
        <c:gapWidth val="150"/>
        <c:overlap val="0"/>
        <c:axId val="99399580"/>
        <c:axId val="30161385"/>
      </c:barChart>
      <c:catAx>
        <c:axId val="9939958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161385"/>
        <c:crosses val="autoZero"/>
        <c:auto val="1"/>
        <c:lblAlgn val="ctr"/>
        <c:lblOffset val="100"/>
        <c:noMultiLvlLbl val="0"/>
      </c:catAx>
      <c:valAx>
        <c:axId val="301613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39958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Night hours &gt; 26 °C, hot year: μ*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Morris!B19</c:f>
              <c:strCache>
                <c:ptCount val="1"/>
                <c:pt idx="0">
                  <c:v>μ*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Morris!$A$20:$A$27</c:f>
              <c:strCache>
                <c:ptCount val="8"/>
                <c:pt idx="0">
                  <c:v>day purge ACH</c:v>
                </c:pt>
                <c:pt idx="1">
                  <c:v>glazing area ×</c:v>
                </c:pt>
                <c:pt idx="2">
                  <c:v>night vent ACH</c:v>
                </c:pt>
                <c:pt idx="3">
                  <c:v>blind factor (closed)</c:v>
                </c:pt>
                <c:pt idx="4">
                  <c:v>internal gains ×</c:v>
                </c:pt>
                <c:pt idx="5">
                  <c:v>background ACH</c:v>
                </c:pt>
                <c:pt idx="6">
                  <c:v>exposed mass t (m)</c:v>
                </c:pt>
                <c:pt idx="7">
                  <c:v>wall insulation (m MW)</c:v>
                </c:pt>
              </c:strCache>
            </c:strRef>
          </c:cat>
          <c:val>
            <c:numRef>
              <c:f>Morris!$B$20:$B$27</c:f>
              <c:numCache>
                <c:formatCode>0</c:formatCode>
                <c:ptCount val="8"/>
                <c:pt idx="0">
                  <c:v>326.4</c:v>
                </c:pt>
                <c:pt idx="1">
                  <c:v>249.3</c:v>
                </c:pt>
                <c:pt idx="2">
                  <c:v>152.7</c:v>
                </c:pt>
                <c:pt idx="3">
                  <c:v>138.3</c:v>
                </c:pt>
                <c:pt idx="4">
                  <c:v>132.45</c:v>
                </c:pt>
                <c:pt idx="5">
                  <c:v>120.3</c:v>
                </c:pt>
                <c:pt idx="6">
                  <c:v>77.55</c:v>
                </c:pt>
                <c:pt idx="7">
                  <c:v>23.7</c:v>
                </c:pt>
              </c:numCache>
            </c:numRef>
          </c:val>
        </c:ser>
        <c:gapWidth val="150"/>
        <c:overlap val="0"/>
        <c:axId val="41052058"/>
        <c:axId val="47987319"/>
      </c:barChart>
      <c:catAx>
        <c:axId val="4105205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987319"/>
        <c:crosses val="autoZero"/>
        <c:auto val="1"/>
        <c:lblAlgn val="ctr"/>
        <c:lblOffset val="100"/>
        <c:noMultiLvlLbl val="0"/>
      </c:catAx>
      <c:valAx>
        <c:axId val="479873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05205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Space heating kWh/m², typical year: μ*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Morris!B32</c:f>
              <c:strCache>
                <c:ptCount val="1"/>
                <c:pt idx="0">
                  <c:v>μ*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Morris!$A$33:$A$40</c:f>
              <c:strCache>
                <c:ptCount val="8"/>
                <c:pt idx="0">
                  <c:v>background ACH</c:v>
                </c:pt>
                <c:pt idx="1">
                  <c:v>blind factor (closed)</c:v>
                </c:pt>
                <c:pt idx="2">
                  <c:v>internal gains ×</c:v>
                </c:pt>
                <c:pt idx="3">
                  <c:v>wall insulation (m MW)</c:v>
                </c:pt>
                <c:pt idx="4">
                  <c:v>day purge ACH</c:v>
                </c:pt>
                <c:pt idx="5">
                  <c:v>glazing area ×</c:v>
                </c:pt>
                <c:pt idx="6">
                  <c:v>exposed mass t (m)</c:v>
                </c:pt>
                <c:pt idx="7">
                  <c:v>night vent ACH</c:v>
                </c:pt>
              </c:strCache>
            </c:strRef>
          </c:cat>
          <c:val>
            <c:numRef>
              <c:f>Morris!$B$33:$B$40</c:f>
              <c:numCache>
                <c:formatCode>0.0</c:formatCode>
                <c:ptCount val="8"/>
                <c:pt idx="0">
                  <c:v>26.2573097825069</c:v>
                </c:pt>
                <c:pt idx="1">
                  <c:v>10.584022247706</c:v>
                </c:pt>
                <c:pt idx="2">
                  <c:v>10.3205862140996</c:v>
                </c:pt>
                <c:pt idx="3">
                  <c:v>7.90359432082977</c:v>
                </c:pt>
                <c:pt idx="4">
                  <c:v>3.08256689291972</c:v>
                </c:pt>
                <c:pt idx="5">
                  <c:v>2.97122088420171</c:v>
                </c:pt>
                <c:pt idx="6">
                  <c:v>1.46708652476858</c:v>
                </c:pt>
                <c:pt idx="7">
                  <c:v>0.127164387710402</c:v>
                </c:pt>
              </c:numCache>
            </c:numRef>
          </c:val>
        </c:ser>
        <c:gapWidth val="150"/>
        <c:overlap val="0"/>
        <c:axId val="89156170"/>
        <c:axId val="5112811"/>
      </c:barChart>
      <c:catAx>
        <c:axId val="8915617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12811"/>
        <c:crosses val="autoZero"/>
        <c:auto val="1"/>
        <c:lblAlgn val="ctr"/>
        <c:lblOffset val="100"/>
        <c:noMultiLvlLbl val="0"/>
      </c:catAx>
      <c:valAx>
        <c:axId val="51128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15617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Peak heating kW, typical year: μ*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Morris!B45</c:f>
              <c:strCache>
                <c:ptCount val="1"/>
                <c:pt idx="0">
                  <c:v>μ*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Morris!$A$46:$A$53</c:f>
              <c:strCache>
                <c:ptCount val="8"/>
                <c:pt idx="0">
                  <c:v>background ACH</c:v>
                </c:pt>
                <c:pt idx="1">
                  <c:v>exposed mass t (m)</c:v>
                </c:pt>
                <c:pt idx="2">
                  <c:v>internal gains ×</c:v>
                </c:pt>
                <c:pt idx="3">
                  <c:v>wall insulation (m MW)</c:v>
                </c:pt>
                <c:pt idx="4">
                  <c:v>glazing area ×</c:v>
                </c:pt>
                <c:pt idx="5">
                  <c:v>blind factor (closed)</c:v>
                </c:pt>
                <c:pt idx="6">
                  <c:v>day purge ACH</c:v>
                </c:pt>
                <c:pt idx="7">
                  <c:v>night vent ACH</c:v>
                </c:pt>
              </c:strCache>
            </c:strRef>
          </c:cat>
          <c:val>
            <c:numRef>
              <c:f>Morris!$B$46:$B$53</c:f>
              <c:numCache>
                <c:formatCode>0.00</c:formatCode>
                <c:ptCount val="8"/>
                <c:pt idx="0">
                  <c:v>1.54339535310777</c:v>
                </c:pt>
                <c:pt idx="1">
                  <c:v>0.636982767525374</c:v>
                </c:pt>
                <c:pt idx="2">
                  <c:v>0.411379921512546</c:v>
                </c:pt>
                <c:pt idx="3">
                  <c:v>0.402987053415471</c:v>
                </c:pt>
                <c:pt idx="4">
                  <c:v>0.315974162580271</c:v>
                </c:pt>
                <c:pt idx="5">
                  <c:v>0.22116998336824</c:v>
                </c:pt>
                <c:pt idx="6">
                  <c:v>0.00953521248665186</c:v>
                </c:pt>
                <c:pt idx="7">
                  <c:v>0.00322839084197581</c:v>
                </c:pt>
              </c:numCache>
            </c:numRef>
          </c:val>
        </c:ser>
        <c:gapWidth val="150"/>
        <c:overlap val="0"/>
        <c:axId val="7452875"/>
        <c:axId val="97731228"/>
      </c:barChart>
      <c:catAx>
        <c:axId val="7452875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731228"/>
        <c:crosses val="autoZero"/>
        <c:auto val="1"/>
        <c:lblAlgn val="ctr"/>
        <c:lblOffset val="100"/>
        <c:noMultiLvlLbl val="0"/>
      </c:catAx>
      <c:valAx>
        <c:axId val="977312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5287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DH26 hot year with night ventilation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Packages!J4</c:f>
              <c:strCache>
                <c:ptCount val="1"/>
                <c:pt idx="0">
                  <c:v>DH26 hot+nv full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Packages!$A$5:$A$18</c:f>
              <c:strCache>
                <c:ptCount val="14"/>
                <c:pt idx="0">
                  <c:v>Timber frame, suspended timber floor</c:v>
                </c:pt>
                <c:pt idx="1">
                  <c:v>Timber frame, screed ground floor</c:v>
                </c:pt>
                <c:pt idx="2">
                  <c:v>SIPs, screed ground floor</c:v>
                </c:pt>
                <c:pt idx="3">
                  <c:v>Lined CLT, CLT floor</c:v>
                </c:pt>
                <c:pt idx="4">
                  <c:v>Exposed CLT, CLT floor</c:v>
                </c:pt>
                <c:pt idx="5">
                  <c:v>Masonry (aircrete, dabs), stud partitions</c:v>
                </c:pt>
                <c:pt idx="6">
                  <c:v>Masonry (dense block, dabs), stud partitions</c:v>
                </c:pt>
                <c:pt idx="7">
                  <c:v>Masonry (dense block, wet plaster), block partitions</c:v>
                </c:pt>
                <c:pt idx="8">
                  <c:v>Heavyweight: dense masonry, exposed slab floors</c:v>
                </c:pt>
                <c:pt idx="9">
                  <c:v>ICF, screed ground floor</c:v>
                </c:pt>
                <c:pt idx="10">
                  <c:v>Hempcrete, screed ground floor</c:v>
                </c:pt>
                <c:pt idx="11">
                  <c:v>Solid brick, uninsulated</c:v>
                </c:pt>
                <c:pt idx="12">
                  <c:v>Solid brick + internal insulation</c:v>
                </c:pt>
                <c:pt idx="13">
                  <c:v>Solid brick + external insulation</c:v>
                </c:pt>
              </c:strCache>
            </c:strRef>
          </c:cat>
          <c:val>
            <c:numRef>
              <c:f>Packages!$J$5:$J$18</c:f>
              <c:numCache>
                <c:formatCode>0</c:formatCode>
                <c:ptCount val="14"/>
                <c:pt idx="0">
                  <c:v>2257.09656562818</c:v>
                </c:pt>
                <c:pt idx="1">
                  <c:v>1721.53005494343</c:v>
                </c:pt>
                <c:pt idx="2">
                  <c:v>1709.03998745008</c:v>
                </c:pt>
                <c:pt idx="3">
                  <c:v>1311.7957531421</c:v>
                </c:pt>
                <c:pt idx="4">
                  <c:v>1280.32265767693</c:v>
                </c:pt>
                <c:pt idx="5">
                  <c:v>1385.84299201824</c:v>
                </c:pt>
                <c:pt idx="6">
                  <c:v>1192.95923377178</c:v>
                </c:pt>
                <c:pt idx="7">
                  <c:v>922.580540826394</c:v>
                </c:pt>
                <c:pt idx="8">
                  <c:v>682.995544881575</c:v>
                </c:pt>
                <c:pt idx="9">
                  <c:v>1344.41208179853</c:v>
                </c:pt>
                <c:pt idx="10">
                  <c:v>1327.39621977069</c:v>
                </c:pt>
                <c:pt idx="11">
                  <c:v>1046.61923547654</c:v>
                </c:pt>
                <c:pt idx="12">
                  <c:v>1401.99651375078</c:v>
                </c:pt>
                <c:pt idx="13">
                  <c:v>1071.46226467238</c:v>
                </c:pt>
              </c:numCache>
            </c:numRef>
          </c:val>
        </c:ser>
        <c:ser>
          <c:idx val="1"/>
          <c:order val="1"/>
          <c:tx>
            <c:strRef>
              <c:f>Packages!K4</c:f>
              <c:strCache>
                <c:ptCount val="1"/>
                <c:pt idx="0">
                  <c:v>DH26 hot+nv 5R1C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Packages!$A$5:$A$18</c:f>
              <c:strCache>
                <c:ptCount val="14"/>
                <c:pt idx="0">
                  <c:v>Timber frame, suspended timber floor</c:v>
                </c:pt>
                <c:pt idx="1">
                  <c:v>Timber frame, screed ground floor</c:v>
                </c:pt>
                <c:pt idx="2">
                  <c:v>SIPs, screed ground floor</c:v>
                </c:pt>
                <c:pt idx="3">
                  <c:v>Lined CLT, CLT floor</c:v>
                </c:pt>
                <c:pt idx="4">
                  <c:v>Exposed CLT, CLT floor</c:v>
                </c:pt>
                <c:pt idx="5">
                  <c:v>Masonry (aircrete, dabs), stud partitions</c:v>
                </c:pt>
                <c:pt idx="6">
                  <c:v>Masonry (dense block, dabs), stud partitions</c:v>
                </c:pt>
                <c:pt idx="7">
                  <c:v>Masonry (dense block, wet plaster), block partitions</c:v>
                </c:pt>
                <c:pt idx="8">
                  <c:v>Heavyweight: dense masonry, exposed slab floors</c:v>
                </c:pt>
                <c:pt idx="9">
                  <c:v>ICF, screed ground floor</c:v>
                </c:pt>
                <c:pt idx="10">
                  <c:v>Hempcrete, screed ground floor</c:v>
                </c:pt>
                <c:pt idx="11">
                  <c:v>Solid brick, uninsulated</c:v>
                </c:pt>
                <c:pt idx="12">
                  <c:v>Solid brick + internal insulation</c:v>
                </c:pt>
                <c:pt idx="13">
                  <c:v>Solid brick + external insulation</c:v>
                </c:pt>
              </c:strCache>
            </c:strRef>
          </c:cat>
          <c:val>
            <c:numRef>
              <c:f>Packages!$K$5:$K$18</c:f>
              <c:numCache>
                <c:formatCode>0</c:formatCode>
                <c:ptCount val="14"/>
                <c:pt idx="0">
                  <c:v>2436.93939387024</c:v>
                </c:pt>
                <c:pt idx="1">
                  <c:v>1945.85262287002</c:v>
                </c:pt>
                <c:pt idx="2">
                  <c:v>1883.23274455065</c:v>
                </c:pt>
                <c:pt idx="3">
                  <c:v>1587.1856023298</c:v>
                </c:pt>
                <c:pt idx="4">
                  <c:v>1565.38099011849</c:v>
                </c:pt>
                <c:pt idx="5">
                  <c:v>1673.98254890613</c:v>
                </c:pt>
                <c:pt idx="6">
                  <c:v>1599.78453622118</c:v>
                </c:pt>
                <c:pt idx="7">
                  <c:v>1275.48789494881</c:v>
                </c:pt>
                <c:pt idx="8">
                  <c:v>1208.19149981313</c:v>
                </c:pt>
                <c:pt idx="9">
                  <c:v>1776.95131802948</c:v>
                </c:pt>
                <c:pt idx="10">
                  <c:v>1640.20605909618</c:v>
                </c:pt>
                <c:pt idx="11">
                  <c:v>1246.08812940264</c:v>
                </c:pt>
                <c:pt idx="12">
                  <c:v>1625.24066288741</c:v>
                </c:pt>
                <c:pt idx="13">
                  <c:v>1482.47767421076</c:v>
                </c:pt>
              </c:numCache>
            </c:numRef>
          </c:val>
        </c:ser>
        <c:gapWidth val="150"/>
        <c:overlap val="0"/>
        <c:axId val="60876929"/>
        <c:axId val="7458066"/>
      </c:barChart>
      <c:catAx>
        <c:axId val="60876929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58066"/>
        <c:crosses val="autoZero"/>
        <c:auto val="1"/>
        <c:lblAlgn val="ctr"/>
        <c:lblOffset val="100"/>
        <c:noMultiLvlLbl val="0"/>
      </c:catAx>
      <c:valAx>
        <c:axId val="745806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87692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Space heating, typical year, kWh/m²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Packages!D4</c:f>
              <c:strCache>
                <c:ptCount val="1"/>
                <c:pt idx="0">
                  <c:v>Heat kWh/m² full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Packages!$A$5:$A$18</c:f>
              <c:strCache>
                <c:ptCount val="14"/>
                <c:pt idx="0">
                  <c:v>Timber frame, suspended timber floor</c:v>
                </c:pt>
                <c:pt idx="1">
                  <c:v>Timber frame, screed ground floor</c:v>
                </c:pt>
                <c:pt idx="2">
                  <c:v>SIPs, screed ground floor</c:v>
                </c:pt>
                <c:pt idx="3">
                  <c:v>Lined CLT, CLT floor</c:v>
                </c:pt>
                <c:pt idx="4">
                  <c:v>Exposed CLT, CLT floor</c:v>
                </c:pt>
                <c:pt idx="5">
                  <c:v>Masonry (aircrete, dabs), stud partitions</c:v>
                </c:pt>
                <c:pt idx="6">
                  <c:v>Masonry (dense block, dabs), stud partitions</c:v>
                </c:pt>
                <c:pt idx="7">
                  <c:v>Masonry (dense block, wet plaster), block partitions</c:v>
                </c:pt>
                <c:pt idx="8">
                  <c:v>Heavyweight: dense masonry, exposed slab floors</c:v>
                </c:pt>
                <c:pt idx="9">
                  <c:v>ICF, screed ground floor</c:v>
                </c:pt>
                <c:pt idx="10">
                  <c:v>Hempcrete, screed ground floor</c:v>
                </c:pt>
                <c:pt idx="11">
                  <c:v>Solid brick, uninsulated</c:v>
                </c:pt>
                <c:pt idx="12">
                  <c:v>Solid brick + internal insulation</c:v>
                </c:pt>
                <c:pt idx="13">
                  <c:v>Solid brick + external insulation</c:v>
                </c:pt>
              </c:strCache>
            </c:strRef>
          </c:cat>
          <c:val>
            <c:numRef>
              <c:f>Packages!$D$5:$D$18</c:f>
              <c:numCache>
                <c:formatCode>0.0</c:formatCode>
                <c:ptCount val="14"/>
                <c:pt idx="0">
                  <c:v>26.2767241417157</c:v>
                </c:pt>
                <c:pt idx="1">
                  <c:v>21.3998934080608</c:v>
                </c:pt>
                <c:pt idx="2">
                  <c:v>18.2558555632789</c:v>
                </c:pt>
                <c:pt idx="3">
                  <c:v>17.6112062527164</c:v>
                </c:pt>
                <c:pt idx="4">
                  <c:v>18.1283447572649</c:v>
                </c:pt>
                <c:pt idx="5">
                  <c:v>18.4581166026159</c:v>
                </c:pt>
                <c:pt idx="6">
                  <c:v>18.8282648009134</c:v>
                </c:pt>
                <c:pt idx="7">
                  <c:v>18.8244828687637</c:v>
                </c:pt>
                <c:pt idx="8">
                  <c:v>18.5305254172248</c:v>
                </c:pt>
                <c:pt idx="9">
                  <c:v>18.9792672656205</c:v>
                </c:pt>
                <c:pt idx="10">
                  <c:v>19.7126734160345</c:v>
                </c:pt>
                <c:pt idx="11">
                  <c:v>87.2790884383451</c:v>
                </c:pt>
                <c:pt idx="12">
                  <c:v>23.0797258834846</c:v>
                </c:pt>
                <c:pt idx="13">
                  <c:v>24.0128811770232</c:v>
                </c:pt>
              </c:numCache>
            </c:numRef>
          </c:val>
        </c:ser>
        <c:ser>
          <c:idx val="1"/>
          <c:order val="1"/>
          <c:tx>
            <c:strRef>
              <c:f>Packages!E4</c:f>
              <c:strCache>
                <c:ptCount val="1"/>
                <c:pt idx="0">
                  <c:v>Heat kWh/m² 5R1C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Packages!$A$5:$A$18</c:f>
              <c:strCache>
                <c:ptCount val="14"/>
                <c:pt idx="0">
                  <c:v>Timber frame, suspended timber floor</c:v>
                </c:pt>
                <c:pt idx="1">
                  <c:v>Timber frame, screed ground floor</c:v>
                </c:pt>
                <c:pt idx="2">
                  <c:v>SIPs, screed ground floor</c:v>
                </c:pt>
                <c:pt idx="3">
                  <c:v>Lined CLT, CLT floor</c:v>
                </c:pt>
                <c:pt idx="4">
                  <c:v>Exposed CLT, CLT floor</c:v>
                </c:pt>
                <c:pt idx="5">
                  <c:v>Masonry (aircrete, dabs), stud partitions</c:v>
                </c:pt>
                <c:pt idx="6">
                  <c:v>Masonry (dense block, dabs), stud partitions</c:v>
                </c:pt>
                <c:pt idx="7">
                  <c:v>Masonry (dense block, wet plaster), block partitions</c:v>
                </c:pt>
                <c:pt idx="8">
                  <c:v>Heavyweight: dense masonry, exposed slab floors</c:v>
                </c:pt>
                <c:pt idx="9">
                  <c:v>ICF, screed ground floor</c:v>
                </c:pt>
                <c:pt idx="10">
                  <c:v>Hempcrete, screed ground floor</c:v>
                </c:pt>
                <c:pt idx="11">
                  <c:v>Solid brick, uninsulated</c:v>
                </c:pt>
                <c:pt idx="12">
                  <c:v>Solid brick + internal insulation</c:v>
                </c:pt>
                <c:pt idx="13">
                  <c:v>Solid brick + external insulation</c:v>
                </c:pt>
              </c:strCache>
            </c:strRef>
          </c:cat>
          <c:val>
            <c:numRef>
              <c:f>Packages!$E$5:$E$18</c:f>
              <c:numCache>
                <c:formatCode>0.0</c:formatCode>
                <c:ptCount val="14"/>
                <c:pt idx="0">
                  <c:v>27.3694451040798</c:v>
                </c:pt>
                <c:pt idx="1">
                  <c:v>22.9065554365081</c:v>
                </c:pt>
                <c:pt idx="2">
                  <c:v>19.6168811621154</c:v>
                </c:pt>
                <c:pt idx="3">
                  <c:v>19.1735500382673</c:v>
                </c:pt>
                <c:pt idx="4">
                  <c:v>19.691786179365</c:v>
                </c:pt>
                <c:pt idx="5">
                  <c:v>19.9159960012083</c:v>
                </c:pt>
                <c:pt idx="6">
                  <c:v>20.1649567070305</c:v>
                </c:pt>
                <c:pt idx="7">
                  <c:v>19.2330781556271</c:v>
                </c:pt>
                <c:pt idx="8">
                  <c:v>18.6498639080547</c:v>
                </c:pt>
                <c:pt idx="9">
                  <c:v>20.8362390186828</c:v>
                </c:pt>
                <c:pt idx="10">
                  <c:v>20.8859036223783</c:v>
                </c:pt>
                <c:pt idx="11">
                  <c:v>85.5787707482883</c:v>
                </c:pt>
                <c:pt idx="12">
                  <c:v>23.2876147933384</c:v>
                </c:pt>
                <c:pt idx="13">
                  <c:v>24.1660990067496</c:v>
                </c:pt>
              </c:numCache>
            </c:numRef>
          </c:val>
        </c:ser>
        <c:gapWidth val="150"/>
        <c:overlap val="0"/>
        <c:axId val="23791943"/>
        <c:axId val="15820234"/>
      </c:barChart>
      <c:catAx>
        <c:axId val="2379194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820234"/>
        <c:crosses val="autoZero"/>
        <c:auto val="1"/>
        <c:lblAlgn val="ctr"/>
        <c:lblOffset val="100"/>
        <c:noMultiLvlLbl val="0"/>
      </c:catAx>
      <c:valAx>
        <c:axId val="158202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79194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Relationship Id="rId4" Type="http://schemas.openxmlformats.org/officeDocument/2006/relationships/chart" Target="../charts/chart9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17</xdr:row>
      <xdr:rowOff>0</xdr:rowOff>
    </xdr:from>
    <xdr:to>
      <xdr:col>7</xdr:col>
      <xdr:colOff>619920</xdr:colOff>
      <xdr:row>33</xdr:row>
      <xdr:rowOff>11520</xdr:rowOff>
    </xdr:to>
    <xdr:graphicFrame>
      <xdr:nvGraphicFramePr>
        <xdr:cNvPr id="0" name="Chart 1"/>
        <xdr:cNvGraphicFramePr/>
      </xdr:nvGraphicFramePr>
      <xdr:xfrm>
        <a:off x="0" y="342900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17</xdr:row>
      <xdr:rowOff>0</xdr:rowOff>
    </xdr:from>
    <xdr:to>
      <xdr:col>16</xdr:col>
      <xdr:colOff>443520</xdr:colOff>
      <xdr:row>33</xdr:row>
      <xdr:rowOff>11520</xdr:rowOff>
    </xdr:to>
    <xdr:graphicFrame>
      <xdr:nvGraphicFramePr>
        <xdr:cNvPr id="1" name="Chart 2"/>
        <xdr:cNvGraphicFramePr/>
      </xdr:nvGraphicFramePr>
      <xdr:xfrm>
        <a:off x="7121520" y="342900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35</xdr:row>
      <xdr:rowOff>0</xdr:rowOff>
    </xdr:from>
    <xdr:to>
      <xdr:col>7</xdr:col>
      <xdr:colOff>619920</xdr:colOff>
      <xdr:row>51</xdr:row>
      <xdr:rowOff>11520</xdr:rowOff>
    </xdr:to>
    <xdr:graphicFrame>
      <xdr:nvGraphicFramePr>
        <xdr:cNvPr id="2" name="Chart 3"/>
        <xdr:cNvGraphicFramePr/>
      </xdr:nvGraphicFramePr>
      <xdr:xfrm>
        <a:off x="0" y="685800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35</xdr:row>
      <xdr:rowOff>0</xdr:rowOff>
    </xdr:from>
    <xdr:to>
      <xdr:col>16</xdr:col>
      <xdr:colOff>443520</xdr:colOff>
      <xdr:row>51</xdr:row>
      <xdr:rowOff>11520</xdr:rowOff>
    </xdr:to>
    <xdr:graphicFrame>
      <xdr:nvGraphicFramePr>
        <xdr:cNvPr id="3" name="Chart 4"/>
        <xdr:cNvGraphicFramePr/>
      </xdr:nvGraphicFramePr>
      <xdr:xfrm>
        <a:off x="7121520" y="685800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</xdr:row>
      <xdr:rowOff>0</xdr:rowOff>
    </xdr:from>
    <xdr:to>
      <xdr:col>19</xdr:col>
      <xdr:colOff>177840</xdr:colOff>
      <xdr:row>17</xdr:row>
      <xdr:rowOff>1080</xdr:rowOff>
    </xdr:to>
    <xdr:graphicFrame>
      <xdr:nvGraphicFramePr>
        <xdr:cNvPr id="4" name="Chart 1"/>
        <xdr:cNvGraphicFramePr/>
      </xdr:nvGraphicFramePr>
      <xdr:xfrm>
        <a:off x="7189560" y="3808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4</xdr:row>
      <xdr:rowOff>0</xdr:rowOff>
    </xdr:from>
    <xdr:to>
      <xdr:col>12</xdr:col>
      <xdr:colOff>399240</xdr:colOff>
      <xdr:row>15</xdr:row>
      <xdr:rowOff>53640</xdr:rowOff>
    </xdr:to>
    <xdr:graphicFrame>
      <xdr:nvGraphicFramePr>
        <xdr:cNvPr id="5" name="Chart 1"/>
        <xdr:cNvGraphicFramePr/>
      </xdr:nvGraphicFramePr>
      <xdr:xfrm>
        <a:off x="4370040" y="762120"/>
        <a:ext cx="4679640" cy="23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17</xdr:row>
      <xdr:rowOff>0</xdr:rowOff>
    </xdr:from>
    <xdr:to>
      <xdr:col>12</xdr:col>
      <xdr:colOff>399240</xdr:colOff>
      <xdr:row>28</xdr:row>
      <xdr:rowOff>53640</xdr:rowOff>
    </xdr:to>
    <xdr:graphicFrame>
      <xdr:nvGraphicFramePr>
        <xdr:cNvPr id="6" name="Chart 2"/>
        <xdr:cNvGraphicFramePr/>
      </xdr:nvGraphicFramePr>
      <xdr:xfrm>
        <a:off x="4370040" y="3429000"/>
        <a:ext cx="4679640" cy="23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0</xdr:colOff>
      <xdr:row>30</xdr:row>
      <xdr:rowOff>0</xdr:rowOff>
    </xdr:from>
    <xdr:to>
      <xdr:col>12</xdr:col>
      <xdr:colOff>399240</xdr:colOff>
      <xdr:row>41</xdr:row>
      <xdr:rowOff>53640</xdr:rowOff>
    </xdr:to>
    <xdr:graphicFrame>
      <xdr:nvGraphicFramePr>
        <xdr:cNvPr id="7" name="Chart 3"/>
        <xdr:cNvGraphicFramePr/>
      </xdr:nvGraphicFramePr>
      <xdr:xfrm>
        <a:off x="4370040" y="6095880"/>
        <a:ext cx="4679640" cy="23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0</xdr:colOff>
      <xdr:row>43</xdr:row>
      <xdr:rowOff>0</xdr:rowOff>
    </xdr:from>
    <xdr:to>
      <xdr:col>12</xdr:col>
      <xdr:colOff>399240</xdr:colOff>
      <xdr:row>54</xdr:row>
      <xdr:rowOff>53640</xdr:rowOff>
    </xdr:to>
    <xdr:graphicFrame>
      <xdr:nvGraphicFramePr>
        <xdr:cNvPr id="8" name="Chart 4"/>
        <xdr:cNvGraphicFramePr/>
      </xdr:nvGraphicFramePr>
      <xdr:xfrm>
        <a:off x="4370040" y="8763120"/>
        <a:ext cx="4679640" cy="23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22</xdr:row>
      <xdr:rowOff>0</xdr:rowOff>
    </xdr:from>
    <xdr:to>
      <xdr:col>6</xdr:col>
      <xdr:colOff>80640</xdr:colOff>
      <xdr:row>42</xdr:row>
      <xdr:rowOff>149760</xdr:rowOff>
    </xdr:to>
    <xdr:graphicFrame>
      <xdr:nvGraphicFramePr>
        <xdr:cNvPr id="9" name="Chart 1"/>
        <xdr:cNvGraphicFramePr/>
      </xdr:nvGraphicFramePr>
      <xdr:xfrm>
        <a:off x="0" y="4381560"/>
        <a:ext cx="719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22</xdr:row>
      <xdr:rowOff>0</xdr:rowOff>
    </xdr:from>
    <xdr:to>
      <xdr:col>17</xdr:col>
      <xdr:colOff>221400</xdr:colOff>
      <xdr:row>42</xdr:row>
      <xdr:rowOff>149760</xdr:rowOff>
    </xdr:to>
    <xdr:graphicFrame>
      <xdr:nvGraphicFramePr>
        <xdr:cNvPr id="10" name="Chart 2"/>
        <xdr:cNvGraphicFramePr/>
      </xdr:nvGraphicFramePr>
      <xdr:xfrm>
        <a:off x="8669520" y="4381560"/>
        <a:ext cx="719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0"/>
  </cols>
  <sheetData>
    <row r="2" customFormat="false" ht="17.35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</row>
    <row r="5" customFormat="false" ht="23.85" hidden="false" customHeight="false" outlineLevel="0" collapsed="false">
      <c r="B5" s="3" t="s">
        <v>2</v>
      </c>
    </row>
    <row r="6" customFormat="false" ht="23.85" hidden="false" customHeight="false" outlineLevel="0" collapsed="false">
      <c r="B6" s="3" t="s">
        <v>3</v>
      </c>
    </row>
    <row r="7" customFormat="false" ht="15" hidden="false" customHeight="false" outlineLevel="0" collapsed="false">
      <c r="B7" s="3"/>
    </row>
    <row r="8" customFormat="false" ht="15" hidden="false" customHeight="false" outlineLevel="0" collapsed="false">
      <c r="B8" s="2" t="s">
        <v>4</v>
      </c>
    </row>
    <row r="9" customFormat="false" ht="35.05" hidden="false" customHeight="false" outlineLevel="0" collapsed="false">
      <c r="B9" s="3" t="s">
        <v>5</v>
      </c>
    </row>
    <row r="10" customFormat="false" ht="23.85" hidden="false" customHeight="false" outlineLevel="0" collapsed="false">
      <c r="B10" s="3" t="s">
        <v>6</v>
      </c>
    </row>
    <row r="11" customFormat="false" ht="15" hidden="false" customHeight="false" outlineLevel="0" collapsed="false">
      <c r="B11" s="3"/>
    </row>
    <row r="12" customFormat="false" ht="15" hidden="false" customHeight="false" outlineLevel="0" collapsed="false">
      <c r="B12" s="2" t="s">
        <v>7</v>
      </c>
    </row>
    <row r="13" customFormat="false" ht="15" hidden="false" customHeight="false" outlineLevel="0" collapsed="false">
      <c r="B13" s="3" t="s">
        <v>8</v>
      </c>
    </row>
    <row r="14" customFormat="false" ht="23.85" hidden="false" customHeight="false" outlineLevel="0" collapsed="false">
      <c r="B14" s="3" t="s">
        <v>9</v>
      </c>
    </row>
    <row r="15" customFormat="false" ht="23.85" hidden="false" customHeight="false" outlineLevel="0" collapsed="false">
      <c r="B15" s="3" t="s">
        <v>10</v>
      </c>
    </row>
    <row r="16" customFormat="false" ht="15" hidden="false" customHeight="false" outlineLevel="0" collapsed="false">
      <c r="B16" s="3" t="s">
        <v>11</v>
      </c>
    </row>
    <row r="17" customFormat="false" ht="15" hidden="false" customHeight="false" outlineLevel="0" collapsed="false">
      <c r="B17" s="3"/>
    </row>
    <row r="18" customFormat="false" ht="15" hidden="false" customHeight="false" outlineLevel="0" collapsed="false">
      <c r="B18" s="2" t="s">
        <v>12</v>
      </c>
    </row>
    <row r="19" customFormat="false" ht="35.05" hidden="false" customHeight="false" outlineLevel="0" collapsed="false">
      <c r="B19" s="3" t="s">
        <v>13</v>
      </c>
    </row>
    <row r="20" customFormat="false" ht="15" hidden="false" customHeight="false" outlineLevel="0" collapsed="false">
      <c r="B20" s="3" t="s">
        <v>14</v>
      </c>
    </row>
    <row r="22" customFormat="false" ht="15" hidden="false" customHeight="false" outlineLevel="0" collapsed="false">
      <c r="B22" s="4" t="s">
        <v>15</v>
      </c>
    </row>
    <row r="23" customFormat="false" ht="15" hidden="false" customHeight="false" outlineLevel="0" collapsed="false">
      <c r="B23" s="5" t="s">
        <v>16</v>
      </c>
    </row>
    <row r="24" customFormat="false" ht="15" hidden="false" customHeight="false" outlineLevel="0" collapsed="false">
      <c r="B24" s="6" t="s">
        <v>17</v>
      </c>
    </row>
    <row r="25" customFormat="false" ht="15" hidden="false" customHeight="false" outlineLevel="0" collapsed="false">
      <c r="B25" s="7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3" min="2" style="0" width="11.5"/>
  </cols>
  <sheetData>
    <row r="1" customFormat="false" ht="15" hidden="false" customHeight="false" outlineLevel="0" collapsed="false">
      <c r="A1" s="4" t="s">
        <v>19</v>
      </c>
    </row>
    <row r="2" customFormat="false" ht="15" hidden="false" customHeight="false" outlineLevel="0" collapsed="false">
      <c r="A2" s="8" t="s">
        <v>20</v>
      </c>
    </row>
    <row r="4" customFormat="false" ht="30" hidden="false" customHeight="true" outlineLevel="0" collapsed="false">
      <c r="A4" s="9" t="s">
        <v>21</v>
      </c>
      <c r="B4" s="9" t="s">
        <v>22</v>
      </c>
      <c r="C4" s="9" t="s">
        <v>23</v>
      </c>
      <c r="D4" s="9" t="s">
        <v>24</v>
      </c>
      <c r="E4" s="9" t="s">
        <v>25</v>
      </c>
      <c r="F4" s="9" t="s">
        <v>26</v>
      </c>
      <c r="G4" s="9" t="s">
        <v>27</v>
      </c>
      <c r="H4" s="9" t="s">
        <v>28</v>
      </c>
      <c r="I4" s="9" t="s">
        <v>29</v>
      </c>
      <c r="J4" s="9" t="s">
        <v>30</v>
      </c>
      <c r="K4" s="9" t="s">
        <v>31</v>
      </c>
      <c r="L4" s="9" t="s">
        <v>32</v>
      </c>
      <c r="M4" s="9"/>
      <c r="N4" s="9" t="s">
        <v>33</v>
      </c>
      <c r="O4" s="9" t="s">
        <v>34</v>
      </c>
      <c r="P4" s="9" t="s">
        <v>35</v>
      </c>
      <c r="Q4" s="9" t="s">
        <v>36</v>
      </c>
      <c r="R4" s="9" t="s">
        <v>37</v>
      </c>
    </row>
    <row r="5" customFormat="false" ht="15" hidden="false" customHeight="false" outlineLevel="0" collapsed="false">
      <c r="A5" s="10" t="n">
        <v>0</v>
      </c>
      <c r="B5" s="10" t="n">
        <v>69.3925782239218</v>
      </c>
      <c r="C5" s="10" t="n">
        <v>337.065033333333</v>
      </c>
      <c r="D5" s="11" t="n">
        <v>23.7897825834294</v>
      </c>
      <c r="E5" s="12" t="n">
        <v>5.69572190946552</v>
      </c>
      <c r="F5" s="10" t="n">
        <v>2824.82273893669</v>
      </c>
      <c r="G5" s="10" t="n">
        <v>2107.31662817488</v>
      </c>
      <c r="H5" s="10" t="n">
        <v>4288.57603660105</v>
      </c>
      <c r="I5" s="10" t="n">
        <v>122</v>
      </c>
      <c r="J5" s="11" t="n">
        <v>12.2674710910005</v>
      </c>
      <c r="K5" s="11" t="n">
        <v>38.9081960514472</v>
      </c>
      <c r="L5" s="11" t="n">
        <v>5.34339828846409</v>
      </c>
      <c r="N5" s="13" t="n">
        <f aca="false">1-D5/$D$5</f>
        <v>0</v>
      </c>
      <c r="O5" s="13" t="n">
        <f aca="false">1-E5/$E$5</f>
        <v>0</v>
      </c>
      <c r="P5" s="13" t="n">
        <f aca="false">1-F5/$F$5</f>
        <v>0</v>
      </c>
      <c r="Q5" s="13" t="n">
        <f aca="false">1-G5/$G$5</f>
        <v>0</v>
      </c>
      <c r="R5" s="14" t="str">
        <f aca="false">""</f>
        <v/>
      </c>
    </row>
    <row r="6" customFormat="false" ht="15" hidden="false" customHeight="false" outlineLevel="0" collapsed="false">
      <c r="A6" s="10" t="n">
        <v>10</v>
      </c>
      <c r="B6" s="10" t="n">
        <v>84.2742925098572</v>
      </c>
      <c r="C6" s="10" t="n">
        <v>352.722033333333</v>
      </c>
      <c r="D6" s="11" t="n">
        <v>23.6004723604577</v>
      </c>
      <c r="E6" s="12" t="n">
        <v>5.90222519331494</v>
      </c>
      <c r="F6" s="10" t="n">
        <v>2696.92272275874</v>
      </c>
      <c r="G6" s="10" t="n">
        <v>1895.83583218918</v>
      </c>
      <c r="H6" s="10" t="n">
        <v>3998.79037235424</v>
      </c>
      <c r="I6" s="10" t="n">
        <v>134</v>
      </c>
      <c r="J6" s="11" t="n">
        <v>10.8597285067873</v>
      </c>
      <c r="K6" s="11" t="n">
        <v>38.2667709060503</v>
      </c>
      <c r="L6" s="11" t="n">
        <v>4.71055180826212</v>
      </c>
      <c r="N6" s="13" t="n">
        <f aca="false">1-D6/$D$5</f>
        <v>0.00795762728422556</v>
      </c>
      <c r="O6" s="13" t="n">
        <f aca="false">1-E6/$E$5</f>
        <v>-0.0362558578406444</v>
      </c>
      <c r="P6" s="13" t="n">
        <f aca="false">1-F6/$F$5</f>
        <v>0.0452771830299321</v>
      </c>
      <c r="Q6" s="13" t="n">
        <f aca="false">1-G6/$G$5</f>
        <v>0.100355491509057</v>
      </c>
      <c r="R6" s="14" t="n">
        <f aca="false">IF(A6=$A$5,"",(G5-G6)/(A6-A5))</f>
        <v>21.1480795985699</v>
      </c>
    </row>
    <row r="7" customFormat="false" ht="15" hidden="false" customHeight="false" outlineLevel="0" collapsed="false">
      <c r="A7" s="10" t="n">
        <v>25</v>
      </c>
      <c r="B7" s="10" t="n">
        <v>162.520941512913</v>
      </c>
      <c r="C7" s="10" t="n">
        <v>452.322033333333</v>
      </c>
      <c r="D7" s="11" t="n">
        <v>21.250793769064</v>
      </c>
      <c r="E7" s="12" t="n">
        <v>5.61018216277407</v>
      </c>
      <c r="F7" s="10" t="n">
        <v>2387.54942360435</v>
      </c>
      <c r="G7" s="10" t="n">
        <v>1407.15235631317</v>
      </c>
      <c r="H7" s="10" t="n">
        <v>3345.30492560341</v>
      </c>
      <c r="I7" s="10" t="n">
        <v>128</v>
      </c>
      <c r="J7" s="11" t="n">
        <v>5.12820512820513</v>
      </c>
      <c r="K7" s="11" t="n">
        <v>36.2601142993616</v>
      </c>
      <c r="L7" s="11" t="n">
        <v>2.8808298512922</v>
      </c>
      <c r="N7" s="13" t="n">
        <f aca="false">1-D7/$D$5</f>
        <v>0.106726020108057</v>
      </c>
      <c r="O7" s="13" t="n">
        <f aca="false">1-E7/$E$5</f>
        <v>0.0150182449303388</v>
      </c>
      <c r="P7" s="13" t="n">
        <f aca="false">1-F7/$F$5</f>
        <v>0.154796727350383</v>
      </c>
      <c r="Q7" s="13" t="n">
        <f aca="false">1-G7/$G$5</f>
        <v>0.332253949169524</v>
      </c>
      <c r="R7" s="14" t="n">
        <f aca="false">IF(A7=$A$5,"",(G6-G7)/(A7-A6))</f>
        <v>32.5788983917341</v>
      </c>
    </row>
    <row r="8" customFormat="false" ht="15" hidden="false" customHeight="false" outlineLevel="0" collapsed="false">
      <c r="A8" s="10" t="n">
        <v>50</v>
      </c>
      <c r="B8" s="10" t="n">
        <v>234.39189214793</v>
      </c>
      <c r="C8" s="10" t="n">
        <v>618.322033333333</v>
      </c>
      <c r="D8" s="11" t="n">
        <v>20.1940967272152</v>
      </c>
      <c r="E8" s="12" t="n">
        <v>4.95551141524245</v>
      </c>
      <c r="F8" s="10" t="n">
        <v>2053.88949757752</v>
      </c>
      <c r="G8" s="10" t="n">
        <v>1100.94786409403</v>
      </c>
      <c r="H8" s="10" t="n">
        <v>2927.11510420125</v>
      </c>
      <c r="I8" s="10" t="n">
        <v>120</v>
      </c>
      <c r="J8" s="11" t="n">
        <v>4.07239819004525</v>
      </c>
      <c r="K8" s="11" t="n">
        <v>34.1038484834954</v>
      </c>
      <c r="L8" s="11" t="n">
        <v>2.03837281478834</v>
      </c>
      <c r="N8" s="13" t="n">
        <f aca="false">1-D8/$D$5</f>
        <v>0.151144124314895</v>
      </c>
      <c r="O8" s="13" t="n">
        <f aca="false">1-E8/$E$5</f>
        <v>0.129959029950696</v>
      </c>
      <c r="P8" s="13" t="n">
        <f aca="false">1-F8/$F$5</f>
        <v>0.272913847206345</v>
      </c>
      <c r="Q8" s="13" t="n">
        <f aca="false">1-G8/$G$5</f>
        <v>0.477559352318334</v>
      </c>
      <c r="R8" s="14" t="n">
        <f aca="false">IF(A8=$A$5,"",(G7-G8)/(A8-A7))</f>
        <v>12.2481796887657</v>
      </c>
    </row>
    <row r="9" customFormat="false" ht="15" hidden="false" customHeight="false" outlineLevel="0" collapsed="false">
      <c r="A9" s="10" t="n">
        <v>75</v>
      </c>
      <c r="B9" s="10" t="n">
        <v>262.864255162033</v>
      </c>
      <c r="C9" s="10" t="n">
        <v>784.322033333333</v>
      </c>
      <c r="D9" s="11" t="n">
        <v>19.9905038180273</v>
      </c>
      <c r="E9" s="12" t="n">
        <v>4.55264383992202</v>
      </c>
      <c r="F9" s="10" t="n">
        <v>1802.73562027774</v>
      </c>
      <c r="G9" s="10" t="n">
        <v>912.866692567024</v>
      </c>
      <c r="H9" s="10" t="n">
        <v>2661.0475348991</v>
      </c>
      <c r="I9" s="10" t="n">
        <v>113</v>
      </c>
      <c r="J9" s="11" t="n">
        <v>3.11714429361488</v>
      </c>
      <c r="K9" s="11" t="n">
        <v>32.6440156817854</v>
      </c>
      <c r="L9" s="11" t="n">
        <v>1.72827135260625</v>
      </c>
      <c r="N9" s="13" t="n">
        <f aca="false">1-D9/$D$5</f>
        <v>0.159702122206381</v>
      </c>
      <c r="O9" s="13" t="n">
        <f aca="false">1-E9/$E$5</f>
        <v>0.20069063899413</v>
      </c>
      <c r="P9" s="13" t="n">
        <f aca="false">1-F9/$F$5</f>
        <v>0.361823453404966</v>
      </c>
      <c r="Q9" s="13" t="n">
        <f aca="false">1-G9/$G$5</f>
        <v>0.566810853024187</v>
      </c>
      <c r="R9" s="14" t="n">
        <f aca="false">IF(A9=$A$5,"",(G8-G9)/(A9-A8))</f>
        <v>7.52324686108023</v>
      </c>
    </row>
    <row r="10" customFormat="false" ht="15" hidden="false" customHeight="false" outlineLevel="0" collapsed="false">
      <c r="A10" s="10" t="n">
        <v>100</v>
      </c>
      <c r="B10" s="10" t="n">
        <v>273.207287549143</v>
      </c>
      <c r="C10" s="10" t="n">
        <v>950.322033333333</v>
      </c>
      <c r="D10" s="11" t="n">
        <v>19.9060087866261</v>
      </c>
      <c r="E10" s="12" t="n">
        <v>4.32204917550761</v>
      </c>
      <c r="F10" s="10" t="n">
        <v>1598.45701568814</v>
      </c>
      <c r="G10" s="10" t="n">
        <v>770.524975070502</v>
      </c>
      <c r="H10" s="10" t="n">
        <v>2464.64959281893</v>
      </c>
      <c r="I10" s="10" t="n">
        <v>112</v>
      </c>
      <c r="J10" s="11" t="n">
        <v>2.31271995977878</v>
      </c>
      <c r="K10" s="11" t="n">
        <v>31.6512823995488</v>
      </c>
      <c r="L10" s="11" t="n">
        <v>1.56825092922128</v>
      </c>
      <c r="N10" s="13" t="n">
        <f aca="false">1-D10/$D$5</f>
        <v>0.163253858381561</v>
      </c>
      <c r="O10" s="13" t="n">
        <f aca="false">1-E10/$E$5</f>
        <v>0.241176229421427</v>
      </c>
      <c r="P10" s="13" t="n">
        <f aca="false">1-F10/$F$5</f>
        <v>0.434139001483038</v>
      </c>
      <c r="Q10" s="13" t="n">
        <f aca="false">1-G10/$G$5</f>
        <v>0.634357284155328</v>
      </c>
      <c r="R10" s="14" t="n">
        <f aca="false">IF(A10=$A$5,"",(G9-G10)/(A10-A9))</f>
        <v>5.69366869986089</v>
      </c>
    </row>
    <row r="11" customFormat="false" ht="15" hidden="false" customHeight="false" outlineLevel="0" collapsed="false">
      <c r="A11" s="10" t="n">
        <v>150</v>
      </c>
      <c r="B11" s="10" t="n">
        <v>275.263026662471</v>
      </c>
      <c r="C11" s="10" t="n">
        <v>1282.32203333333</v>
      </c>
      <c r="D11" s="11" t="n">
        <v>19.8656296485074</v>
      </c>
      <c r="E11" s="12" t="n">
        <v>4.0795844649183</v>
      </c>
      <c r="F11" s="10" t="n">
        <v>1290.50210095321</v>
      </c>
      <c r="G11" s="10" t="n">
        <v>549.095128040541</v>
      </c>
      <c r="H11" s="10" t="n">
        <v>2182.87269603139</v>
      </c>
      <c r="I11" s="10" t="n">
        <v>111</v>
      </c>
      <c r="J11" s="11" t="n">
        <v>0</v>
      </c>
      <c r="K11" s="11" t="n">
        <v>30.3936970977395</v>
      </c>
      <c r="L11" s="11" t="n">
        <v>1.39112702640941</v>
      </c>
      <c r="N11" s="13" t="n">
        <f aca="false">1-D11/$D$5</f>
        <v>0.164951189493229</v>
      </c>
      <c r="O11" s="13" t="n">
        <f aca="false">1-E11/$E$5</f>
        <v>0.283745848241189</v>
      </c>
      <c r="P11" s="13" t="n">
        <f aca="false">1-F11/$F$5</f>
        <v>0.543156431316827</v>
      </c>
      <c r="Q11" s="13" t="n">
        <f aca="false">1-G11/$G$5</f>
        <v>0.739433969865219</v>
      </c>
      <c r="R11" s="14" t="n">
        <f aca="false">IF(A11=$A$5,"",(G10-G11)/(A11-A10))</f>
        <v>4.42859694059922</v>
      </c>
    </row>
    <row r="12" customFormat="false" ht="15" hidden="false" customHeight="false" outlineLevel="0" collapsed="false">
      <c r="A12" s="10" t="n">
        <v>200</v>
      </c>
      <c r="B12" s="10" t="n">
        <v>270.601030342791</v>
      </c>
      <c r="C12" s="10" t="n">
        <v>1614.32203333333</v>
      </c>
      <c r="D12" s="11" t="n">
        <v>19.8960222993081</v>
      </c>
      <c r="E12" s="12" t="n">
        <v>4.06051957511715</v>
      </c>
      <c r="F12" s="10" t="n">
        <v>1083.66047464722</v>
      </c>
      <c r="G12" s="10" t="n">
        <v>389.215438780896</v>
      </c>
      <c r="H12" s="10" t="n">
        <v>1991.29711799682</v>
      </c>
      <c r="I12" s="10" t="n">
        <v>98</v>
      </c>
      <c r="J12" s="11" t="n">
        <v>0</v>
      </c>
      <c r="K12" s="11" t="n">
        <v>29.4397709962599</v>
      </c>
      <c r="L12" s="11" t="n">
        <v>1.30340688871728</v>
      </c>
      <c r="N12" s="13" t="n">
        <f aca="false">1-D12/$D$5</f>
        <v>0.163673638902165</v>
      </c>
      <c r="O12" s="13" t="n">
        <f aca="false">1-E12/$E$5</f>
        <v>0.287093077987337</v>
      </c>
      <c r="P12" s="13" t="n">
        <f aca="false">1-F12/$F$5</f>
        <v>0.616379300651222</v>
      </c>
      <c r="Q12" s="13" t="n">
        <f aca="false">1-G12/$G$5</f>
        <v>0.815302819909892</v>
      </c>
      <c r="R12" s="14" t="n">
        <f aca="false">IF(A12=$A$5,"",(G11-G12)/(A12-A11))</f>
        <v>3.1975937851929</v>
      </c>
    </row>
    <row r="13" customFormat="false" ht="15" hidden="false" customHeight="false" outlineLevel="0" collapsed="false">
      <c r="A13" s="10" t="n">
        <v>300</v>
      </c>
      <c r="B13" s="10" t="n">
        <v>262.587929606727</v>
      </c>
      <c r="C13" s="10" t="n">
        <v>2278.32203333333</v>
      </c>
      <c r="D13" s="11" t="n">
        <v>20.06733849897</v>
      </c>
      <c r="E13" s="12" t="n">
        <v>4.05610650916379</v>
      </c>
      <c r="F13" s="10" t="n">
        <v>824.928483762264</v>
      </c>
      <c r="G13" s="10" t="n">
        <v>192.003266863699</v>
      </c>
      <c r="H13" s="10" t="n">
        <v>1754.98072534313</v>
      </c>
      <c r="I13" s="10" t="n">
        <v>74</v>
      </c>
      <c r="J13" s="11" t="n">
        <v>0</v>
      </c>
      <c r="K13" s="11" t="n">
        <v>28.2335582070944</v>
      </c>
      <c r="L13" s="11" t="n">
        <v>1.2466012495252</v>
      </c>
      <c r="N13" s="13" t="n">
        <f aca="false">1-D13/$D$5</f>
        <v>0.156472387732212</v>
      </c>
      <c r="O13" s="13" t="n">
        <f aca="false">1-E13/$E$5</f>
        <v>0.287867881607231</v>
      </c>
      <c r="P13" s="13" t="n">
        <f aca="false">1-F13/$F$5</f>
        <v>0.707971593264369</v>
      </c>
      <c r="Q13" s="13" t="n">
        <f aca="false">1-G13/$G$5</f>
        <v>0.908887319401076</v>
      </c>
      <c r="R13" s="14" t="n">
        <f aca="false">IF(A13=$A$5,"",(G12-G13)/(A13-A12))</f>
        <v>1.97212171917197</v>
      </c>
    </row>
    <row r="15" customFormat="false" ht="15" hidden="false" customHeight="false" outlineLevel="0" collapsed="false">
      <c r="A15" s="8" t="s">
        <v>38</v>
      </c>
    </row>
    <row r="16" customFormat="false" ht="15" hidden="false" customHeight="false" outlineLevel="0" collapsed="false">
      <c r="A16" s="8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11" min="2" style="0" width="10"/>
  </cols>
  <sheetData>
    <row r="1" customFormat="false" ht="15" hidden="false" customHeight="false" outlineLevel="0" collapsed="false">
      <c r="A1" s="4" t="s">
        <v>40</v>
      </c>
    </row>
    <row r="3" customFormat="false" ht="15" hidden="false" customHeight="false" outlineLevel="0" collapsed="false">
      <c r="A3" s="4" t="s">
        <v>41</v>
      </c>
    </row>
    <row r="4" customFormat="false" ht="30" hidden="false" customHeight="true" outlineLevel="0" collapsed="false">
      <c r="A4" s="9" t="s">
        <v>42</v>
      </c>
      <c r="B4" s="15" t="n">
        <v>0</v>
      </c>
      <c r="C4" s="15" t="n">
        <v>25</v>
      </c>
      <c r="D4" s="15" t="n">
        <v>50</v>
      </c>
      <c r="E4" s="15" t="n">
        <v>100</v>
      </c>
      <c r="F4" s="15" t="n">
        <v>150</v>
      </c>
      <c r="G4" s="15" t="n">
        <v>200</v>
      </c>
      <c r="H4" s="15" t="n">
        <v>300</v>
      </c>
    </row>
    <row r="5" customFormat="false" ht="15" hidden="false" customHeight="false" outlineLevel="0" collapsed="false">
      <c r="A5" s="11" t="n">
        <v>0</v>
      </c>
      <c r="B5" s="10" t="n">
        <v>2824.82273893669</v>
      </c>
      <c r="C5" s="10" t="n">
        <v>2387.54942360435</v>
      </c>
      <c r="D5" s="10" t="n">
        <v>2053.88949757752</v>
      </c>
      <c r="E5" s="10" t="n">
        <v>1598.45701568814</v>
      </c>
      <c r="F5" s="10" t="n">
        <v>1290.50210095321</v>
      </c>
      <c r="G5" s="10" t="n">
        <v>1083.66047464722</v>
      </c>
      <c r="H5" s="10" t="n">
        <v>824.928483762264</v>
      </c>
    </row>
    <row r="6" customFormat="false" ht="15" hidden="false" customHeight="false" outlineLevel="0" collapsed="false">
      <c r="A6" s="11" t="n">
        <v>0.5</v>
      </c>
      <c r="B6" s="10" t="n">
        <v>2539.46645561287</v>
      </c>
      <c r="C6" s="10" t="n">
        <v>2012.3365711758</v>
      </c>
      <c r="D6" s="10" t="n">
        <v>1683.75874738548</v>
      </c>
      <c r="E6" s="10" t="n">
        <v>1261.76518014336</v>
      </c>
      <c r="F6" s="10" t="n">
        <v>986.957111048987</v>
      </c>
      <c r="G6" s="10" t="n">
        <v>795.917525887083</v>
      </c>
      <c r="H6" s="10" t="n">
        <v>544.159001056156</v>
      </c>
    </row>
    <row r="7" customFormat="false" ht="15" hidden="false" customHeight="false" outlineLevel="0" collapsed="false">
      <c r="A7" s="11" t="n">
        <v>1</v>
      </c>
      <c r="B7" s="10" t="n">
        <v>2341.52175271689</v>
      </c>
      <c r="C7" s="10" t="n">
        <v>1749.36526934477</v>
      </c>
      <c r="D7" s="10" t="n">
        <v>1424.24634967388</v>
      </c>
      <c r="E7" s="10" t="n">
        <v>1041.02173606518</v>
      </c>
      <c r="F7" s="10" t="n">
        <v>794.74292089504</v>
      </c>
      <c r="G7" s="10" t="n">
        <v>614.038848069647</v>
      </c>
      <c r="H7" s="10" t="n">
        <v>378.605352846103</v>
      </c>
    </row>
    <row r="8" customFormat="false" ht="15" hidden="false" customHeight="false" outlineLevel="0" collapsed="false">
      <c r="A8" s="11" t="n">
        <v>2</v>
      </c>
      <c r="B8" s="10" t="n">
        <v>2107.31662817488</v>
      </c>
      <c r="C8" s="10" t="n">
        <v>1407.15235631317</v>
      </c>
      <c r="D8" s="10" t="n">
        <v>1100.94786409403</v>
      </c>
      <c r="E8" s="10" t="n">
        <v>770.524975070502</v>
      </c>
      <c r="F8" s="10" t="n">
        <v>549.095128040541</v>
      </c>
      <c r="G8" s="10" t="n">
        <v>389.215438780896</v>
      </c>
      <c r="H8" s="10" t="n">
        <v>192.003266863699</v>
      </c>
    </row>
    <row r="9" customFormat="false" ht="15" hidden="false" customHeight="false" outlineLevel="0" collapsed="false">
      <c r="A9" s="11" t="n">
        <v>3</v>
      </c>
      <c r="B9" s="10" t="n">
        <v>1971.59075018582</v>
      </c>
      <c r="C9" s="10" t="n">
        <v>1194.83297355525</v>
      </c>
      <c r="D9" s="10" t="n">
        <v>907.393457753345</v>
      </c>
      <c r="E9" s="10" t="n">
        <v>617.235728835338</v>
      </c>
      <c r="F9" s="10" t="n">
        <v>419.78291262036</v>
      </c>
      <c r="G9" s="10" t="n">
        <v>279.03464567903</v>
      </c>
      <c r="H9" s="10" t="n">
        <v>113.714022304446</v>
      </c>
    </row>
    <row r="10" customFormat="false" ht="15" hidden="false" customHeight="false" outlineLevel="0" collapsed="false">
      <c r="A10" s="11" t="n">
        <v>5</v>
      </c>
      <c r="B10" s="10" t="n">
        <v>1826.87165432071</v>
      </c>
      <c r="C10" s="10" t="n">
        <v>943.514650795282</v>
      </c>
      <c r="D10" s="10" t="n">
        <v>697.231655952178</v>
      </c>
      <c r="E10" s="10" t="n">
        <v>455.614099974502</v>
      </c>
      <c r="F10" s="10" t="n">
        <v>300.801366281284</v>
      </c>
      <c r="G10" s="10" t="n">
        <v>188.735993486345</v>
      </c>
      <c r="H10" s="10" t="n">
        <v>76.0933946660065</v>
      </c>
    </row>
    <row r="11" customFormat="false" ht="15" hidden="false" customHeight="false" outlineLevel="0" collapsed="false">
      <c r="A11" s="8" t="s">
        <v>43</v>
      </c>
    </row>
    <row r="13" customFormat="false" ht="15" hidden="false" customHeight="false" outlineLevel="0" collapsed="false">
      <c r="A13" s="4" t="s">
        <v>44</v>
      </c>
    </row>
    <row r="14" customFormat="false" ht="30" hidden="false" customHeight="true" outlineLevel="0" collapsed="false">
      <c r="A14" s="9" t="s">
        <v>42</v>
      </c>
      <c r="B14" s="15" t="n">
        <v>0</v>
      </c>
      <c r="C14" s="15" t="n">
        <v>25</v>
      </c>
      <c r="D14" s="15" t="n">
        <v>50</v>
      </c>
      <c r="E14" s="15" t="n">
        <v>100</v>
      </c>
      <c r="F14" s="15" t="n">
        <v>150</v>
      </c>
      <c r="G14" s="15" t="n">
        <v>200</v>
      </c>
      <c r="H14" s="15" t="n">
        <v>300</v>
      </c>
    </row>
    <row r="15" customFormat="false" ht="15" hidden="false" customHeight="false" outlineLevel="0" collapsed="false">
      <c r="A15" s="11" t="n">
        <v>0</v>
      </c>
      <c r="B15" s="10" t="n">
        <v>225</v>
      </c>
      <c r="C15" s="10" t="n">
        <v>285</v>
      </c>
      <c r="D15" s="10" t="n">
        <v>309</v>
      </c>
      <c r="E15" s="10" t="n">
        <v>289</v>
      </c>
      <c r="F15" s="10" t="n">
        <v>271</v>
      </c>
      <c r="G15" s="10" t="n">
        <v>267</v>
      </c>
      <c r="H15" s="10" t="n">
        <v>277</v>
      </c>
    </row>
    <row r="16" customFormat="false" ht="15" hidden="false" customHeight="false" outlineLevel="0" collapsed="false">
      <c r="A16" s="11" t="n">
        <v>0.5</v>
      </c>
      <c r="B16" s="10" t="n">
        <v>175</v>
      </c>
      <c r="C16" s="10" t="n">
        <v>221</v>
      </c>
      <c r="D16" s="10" t="n">
        <v>211</v>
      </c>
      <c r="E16" s="10" t="n">
        <v>200</v>
      </c>
      <c r="F16" s="10" t="n">
        <v>188</v>
      </c>
      <c r="G16" s="10" t="n">
        <v>177</v>
      </c>
      <c r="H16" s="10" t="n">
        <v>170</v>
      </c>
    </row>
    <row r="17" customFormat="false" ht="15" hidden="false" customHeight="false" outlineLevel="0" collapsed="false">
      <c r="A17" s="11" t="n">
        <v>1</v>
      </c>
      <c r="B17" s="10" t="n">
        <v>151</v>
      </c>
      <c r="C17" s="10" t="n">
        <v>173</v>
      </c>
      <c r="D17" s="10" t="n">
        <v>168</v>
      </c>
      <c r="E17" s="10" t="n">
        <v>158</v>
      </c>
      <c r="F17" s="10" t="n">
        <v>140</v>
      </c>
      <c r="G17" s="10" t="n">
        <v>140</v>
      </c>
      <c r="H17" s="10" t="n">
        <v>120</v>
      </c>
    </row>
    <row r="18" customFormat="false" ht="15" hidden="false" customHeight="false" outlineLevel="0" collapsed="false">
      <c r="A18" s="11" t="n">
        <v>2</v>
      </c>
      <c r="B18" s="10" t="n">
        <v>122</v>
      </c>
      <c r="C18" s="10" t="n">
        <v>128</v>
      </c>
      <c r="D18" s="10" t="n">
        <v>120</v>
      </c>
      <c r="E18" s="10" t="n">
        <v>112</v>
      </c>
      <c r="F18" s="10" t="n">
        <v>111</v>
      </c>
      <c r="G18" s="10" t="n">
        <v>98</v>
      </c>
      <c r="H18" s="10" t="n">
        <v>74</v>
      </c>
    </row>
    <row r="19" customFormat="false" ht="15" hidden="false" customHeight="false" outlineLevel="0" collapsed="false">
      <c r="A19" s="11" t="n">
        <v>3</v>
      </c>
      <c r="B19" s="10" t="n">
        <v>105</v>
      </c>
      <c r="C19" s="10" t="n">
        <v>109</v>
      </c>
      <c r="D19" s="10" t="n">
        <v>94</v>
      </c>
      <c r="E19" s="10" t="n">
        <v>93</v>
      </c>
      <c r="F19" s="10" t="n">
        <v>78</v>
      </c>
      <c r="G19" s="10" t="n">
        <v>70</v>
      </c>
      <c r="H19" s="10" t="n">
        <v>31</v>
      </c>
    </row>
    <row r="20" customFormat="false" ht="15" hidden="false" customHeight="false" outlineLevel="0" collapsed="false">
      <c r="A20" s="11" t="n">
        <v>5</v>
      </c>
      <c r="B20" s="10" t="n">
        <v>86</v>
      </c>
      <c r="C20" s="10" t="n">
        <v>83</v>
      </c>
      <c r="D20" s="10" t="n">
        <v>73</v>
      </c>
      <c r="E20" s="10" t="n">
        <v>64</v>
      </c>
      <c r="F20" s="10" t="n">
        <v>56</v>
      </c>
      <c r="G20" s="10" t="n">
        <v>45</v>
      </c>
      <c r="H20" s="10" t="n">
        <v>13</v>
      </c>
    </row>
    <row r="21" customFormat="false" ht="15" hidden="false" customHeight="false" outlineLevel="0" collapsed="false">
      <c r="A21" s="8" t="s">
        <v>45</v>
      </c>
    </row>
    <row r="23" customFormat="false" ht="15" hidden="false" customHeight="false" outlineLevel="0" collapsed="false">
      <c r="A23" s="4" t="s">
        <v>46</v>
      </c>
    </row>
    <row r="24" customFormat="false" ht="30" hidden="false" customHeight="true" outlineLevel="0" collapsed="false">
      <c r="A24" s="9" t="s">
        <v>42</v>
      </c>
      <c r="B24" s="9" t="n">
        <v>0</v>
      </c>
      <c r="C24" s="9" t="n">
        <v>25</v>
      </c>
      <c r="D24" s="9" t="n">
        <v>50</v>
      </c>
      <c r="E24" s="9" t="n">
        <v>100</v>
      </c>
      <c r="F24" s="9" t="n">
        <v>150</v>
      </c>
      <c r="G24" s="9" t="n">
        <v>200</v>
      </c>
      <c r="H24" s="9" t="n">
        <v>300</v>
      </c>
    </row>
    <row r="25" customFormat="false" ht="15" hidden="false" customHeight="false" outlineLevel="0" collapsed="false">
      <c r="A25" s="16" t="n">
        <f aca="false">A5</f>
        <v>0</v>
      </c>
      <c r="B25" s="13" t="n">
        <f aca="false">1-B5/$B5</f>
        <v>0</v>
      </c>
      <c r="C25" s="13" t="n">
        <f aca="false">1-C5/$B5</f>
        <v>0.154796727350383</v>
      </c>
      <c r="D25" s="13" t="n">
        <f aca="false">1-D5/$B5</f>
        <v>0.272913847206345</v>
      </c>
      <c r="E25" s="13" t="n">
        <f aca="false">1-E5/$B5</f>
        <v>0.434139001483038</v>
      </c>
      <c r="F25" s="13" t="n">
        <f aca="false">1-F5/$B5</f>
        <v>0.543156431316827</v>
      </c>
      <c r="G25" s="13" t="n">
        <f aca="false">1-G5/$B5</f>
        <v>0.616379300651222</v>
      </c>
      <c r="H25" s="13" t="n">
        <f aca="false">1-H5/$B5</f>
        <v>0.707971593264369</v>
      </c>
    </row>
    <row r="26" customFormat="false" ht="15" hidden="false" customHeight="false" outlineLevel="0" collapsed="false">
      <c r="A26" s="16" t="n">
        <f aca="false">A6</f>
        <v>0.5</v>
      </c>
      <c r="B26" s="13" t="n">
        <f aca="false">1-B6/$B6</f>
        <v>0</v>
      </c>
      <c r="C26" s="13" t="n">
        <f aca="false">1-C6/$B6</f>
        <v>0.207575053126601</v>
      </c>
      <c r="D26" s="13" t="n">
        <f aca="false">1-D6/$B6</f>
        <v>0.33696358002133</v>
      </c>
      <c r="E26" s="13" t="n">
        <f aca="false">1-E6/$B6</f>
        <v>0.50313768573137</v>
      </c>
      <c r="F26" s="13" t="n">
        <f aca="false">1-F6/$B6</f>
        <v>0.611352570195381</v>
      </c>
      <c r="G26" s="13" t="n">
        <f aca="false">1-G6/$B6</f>
        <v>0.686580807504701</v>
      </c>
      <c r="H26" s="13" t="n">
        <f aca="false">1-H6/$B6</f>
        <v>0.78571916165562</v>
      </c>
    </row>
    <row r="27" customFormat="false" ht="15" hidden="false" customHeight="false" outlineLevel="0" collapsed="false">
      <c r="A27" s="16" t="n">
        <f aca="false">A7</f>
        <v>1</v>
      </c>
      <c r="B27" s="13" t="n">
        <f aca="false">1-B7/$B7</f>
        <v>0</v>
      </c>
      <c r="C27" s="13" t="n">
        <f aca="false">1-C7/$B7</f>
        <v>0.252893863866537</v>
      </c>
      <c r="D27" s="13" t="n">
        <f aca="false">1-D7/$B7</f>
        <v>0.391743276345261</v>
      </c>
      <c r="E27" s="13" t="n">
        <f aca="false">1-E7/$B7</f>
        <v>0.555408043996483</v>
      </c>
      <c r="F27" s="13" t="n">
        <f aca="false">1-F7/$B7</f>
        <v>0.660587000751587</v>
      </c>
      <c r="G27" s="13" t="n">
        <f aca="false">1-G7/$B7</f>
        <v>0.737760775718965</v>
      </c>
      <c r="H27" s="13" t="n">
        <f aca="false">1-H7/$B7</f>
        <v>0.838307992481042</v>
      </c>
    </row>
    <row r="28" customFormat="false" ht="15" hidden="false" customHeight="false" outlineLevel="0" collapsed="false">
      <c r="A28" s="16" t="n">
        <f aca="false">A8</f>
        <v>2</v>
      </c>
      <c r="B28" s="13" t="n">
        <f aca="false">1-B8/$B8</f>
        <v>0</v>
      </c>
      <c r="C28" s="13" t="n">
        <f aca="false">1-C8/$B8</f>
        <v>0.332253949169524</v>
      </c>
      <c r="D28" s="13" t="n">
        <f aca="false">1-D8/$B8</f>
        <v>0.477559352318334</v>
      </c>
      <c r="E28" s="13" t="n">
        <f aca="false">1-E8/$B8</f>
        <v>0.634357284155328</v>
      </c>
      <c r="F28" s="13" t="n">
        <f aca="false">1-F8/$B8</f>
        <v>0.739433969865219</v>
      </c>
      <c r="G28" s="13" t="n">
        <f aca="false">1-G8/$B8</f>
        <v>0.815302819909892</v>
      </c>
      <c r="H28" s="13" t="n">
        <f aca="false">1-H8/$B8</f>
        <v>0.908887319401076</v>
      </c>
    </row>
    <row r="29" customFormat="false" ht="15" hidden="false" customHeight="false" outlineLevel="0" collapsed="false">
      <c r="A29" s="16" t="n">
        <f aca="false">A9</f>
        <v>3</v>
      </c>
      <c r="B29" s="13" t="n">
        <f aca="false">1-B9/$B9</f>
        <v>0</v>
      </c>
      <c r="C29" s="13" t="n">
        <f aca="false">1-C9/$B9</f>
        <v>0.393975157652451</v>
      </c>
      <c r="D29" s="13" t="n">
        <f aca="false">1-D9/$B9</f>
        <v>0.539765817187049</v>
      </c>
      <c r="E29" s="13" t="n">
        <f aca="false">1-E9/$B9</f>
        <v>0.686935167058801</v>
      </c>
      <c r="F29" s="13" t="n">
        <f aca="false">1-F9/$B9</f>
        <v>0.787084153960047</v>
      </c>
      <c r="G29" s="13" t="n">
        <f aca="false">1-G9/$B9</f>
        <v>0.858472329689754</v>
      </c>
      <c r="H29" s="13" t="n">
        <f aca="false">1-H9/$B9</f>
        <v>0.942323718908841</v>
      </c>
    </row>
    <row r="30" customFormat="false" ht="15" hidden="false" customHeight="false" outlineLevel="0" collapsed="false">
      <c r="A30" s="16" t="n">
        <f aca="false">A10</f>
        <v>5</v>
      </c>
      <c r="B30" s="13" t="n">
        <f aca="false">1-B10/$B10</f>
        <v>0</v>
      </c>
      <c r="C30" s="13" t="n">
        <f aca="false">1-C10/$B10</f>
        <v>0.483535338367211</v>
      </c>
      <c r="D30" s="13" t="n">
        <f aca="false">1-D10/$B10</f>
        <v>0.618346666935708</v>
      </c>
      <c r="E30" s="13" t="n">
        <f aca="false">1-E10/$B10</f>
        <v>0.750604209717232</v>
      </c>
      <c r="F30" s="13" t="n">
        <f aca="false">1-F10/$B10</f>
        <v>0.835346196559642</v>
      </c>
      <c r="G30" s="13" t="n">
        <f aca="false">1-G10/$B10</f>
        <v>0.896688969342774</v>
      </c>
      <c r="H30" s="13" t="n">
        <f aca="false">1-H10/$B10</f>
        <v>0.958347706317497</v>
      </c>
    </row>
    <row r="32" customFormat="false" ht="15" hidden="false" customHeight="false" outlineLevel="0" collapsed="false">
      <c r="A32" s="4" t="s">
        <v>47</v>
      </c>
    </row>
    <row r="33" customFormat="false" ht="15" hidden="false" customHeight="false" outlineLevel="0" collapsed="false">
      <c r="A33" s="7" t="s">
        <v>48</v>
      </c>
      <c r="B33" s="10" t="n">
        <v>80</v>
      </c>
      <c r="D33" s="7" t="s">
        <v>49</v>
      </c>
      <c r="E33" s="17" t="n">
        <f aca="false">MIN(MATCH(MAX(0,MIN(300,B33)),$B$4:$H$4,1),6)</f>
        <v>3</v>
      </c>
    </row>
    <row r="34" customFormat="false" ht="15" hidden="false" customHeight="false" outlineLevel="0" collapsed="false">
      <c r="A34" s="7" t="s">
        <v>50</v>
      </c>
      <c r="B34" s="11" t="n">
        <v>1.5</v>
      </c>
      <c r="D34" s="7" t="s">
        <v>51</v>
      </c>
      <c r="E34" s="17" t="n">
        <f aca="false">MIN(MATCH(MAX(0,MIN(5,B34)),$A$5:$A$10,1),5)</f>
        <v>3</v>
      </c>
    </row>
    <row r="35" customFormat="false" ht="15" hidden="false" customHeight="false" outlineLevel="0" collapsed="false">
      <c r="A35" s="4" t="s">
        <v>52</v>
      </c>
      <c r="B35" s="18" t="n">
        <f aca="false">(1-$E$35)*(1-$E$36)*INDEX($B$5:$H$10,$E$34,$E$33)+$E$35*(1-$E$36)*INDEX($B$5:$H$10,$E$34,$E$33+1)+(1-$E$35)*$E$36*INDEX($B$5:$H$10,$E$34+1,$E$33)+$E$35*$E$36*INDEX($B$5:$H$10,$E$34+1,$E$33+1)</f>
        <v>1048.50285609429</v>
      </c>
      <c r="D35" s="7" t="s">
        <v>53</v>
      </c>
      <c r="E35" s="19" t="n">
        <f aca="false">(MAX(0,MIN(300,B33))-INDEX($B$4:$H$4,E33))/(INDEX($B$4:$H$4,E33+1)-INDEX($B$4:$H$4,E33))</f>
        <v>0.6</v>
      </c>
    </row>
    <row r="36" customFormat="false" ht="15" hidden="false" customHeight="false" outlineLevel="0" collapsed="false">
      <c r="A36" s="4" t="s">
        <v>54</v>
      </c>
      <c r="B36" s="18" t="n">
        <f aca="false">(1-$E$35)*(1-$E$36)*INDEX($B$15:$H$20,$E$34,$E$33)+$E$35*(1-$E$36)*INDEX($B$15:$H$20,$E$34,$E$33+1)+(1-$E$35)*$E$36*INDEX($B$15:$H$20,$E$34+1,$E$33)+$E$35*$E$36*INDEX($B$15:$H$20,$E$34+1,$E$33+1)</f>
        <v>138.6</v>
      </c>
      <c r="D36" s="7" t="s">
        <v>55</v>
      </c>
      <c r="E36" s="19" t="n">
        <f aca="false">(MAX(0,MIN(5,B34))-INDEX($A$5:$A$10,E34))/(INDEX($A$5:$A$10,E34+1)-INDEX($A$5:$A$10,E34))</f>
        <v>0.5</v>
      </c>
    </row>
    <row r="38" customFormat="false" ht="15" hidden="false" customHeight="false" outlineLevel="0" collapsed="false">
      <c r="A38" s="8" t="s">
        <v>56</v>
      </c>
    </row>
  </sheetData>
  <conditionalFormatting sqref="B5:H10">
    <cfRule type="colorScale" priority="2">
      <colorScale>
        <cfvo type="min" val="0"/>
        <cfvo type="percentile" val="50"/>
        <cfvo type="max" val="0"/>
        <color rgb="FF5B8DB8"/>
        <color rgb="FFF6F1E3"/>
        <color rgb="FFC8553D"/>
      </colorScale>
    </cfRule>
  </conditionalFormatting>
  <conditionalFormatting sqref="B15:H20">
    <cfRule type="colorScale" priority="3">
      <colorScale>
        <cfvo type="min" val="0"/>
        <cfvo type="percentile" val="50"/>
        <cfvo type="max" val="0"/>
        <color rgb="FF5B8DB8"/>
        <color rgb="FFF6F1E3"/>
        <color rgb="FFC8553D"/>
      </colorScale>
    </cfRule>
  </conditionalFormatting>
  <conditionalFormatting sqref="B25:H30">
    <cfRule type="colorScale" priority="4">
      <colorScale>
        <cfvo type="min" val="0"/>
        <cfvo type="max" val="0"/>
        <color rgb="FFF6F1E3"/>
        <color rgb="FF3E7C59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11"/>
    <col collapsed="false" customWidth="true" hidden="false" outlineLevel="0" max="5" min="5" style="0" width="3"/>
  </cols>
  <sheetData>
    <row r="1" customFormat="false" ht="15" hidden="false" customHeight="false" outlineLevel="0" collapsed="false">
      <c r="A1" s="4" t="s">
        <v>57</v>
      </c>
    </row>
    <row r="2" customFormat="false" ht="15" hidden="false" customHeight="false" outlineLevel="0" collapsed="false">
      <c r="A2" s="8" t="s">
        <v>58</v>
      </c>
    </row>
    <row r="3" customFormat="false" ht="15" hidden="false" customHeight="false" outlineLevel="0" collapsed="false">
      <c r="A3" s="8" t="s">
        <v>59</v>
      </c>
    </row>
    <row r="5" customFormat="false" ht="15" hidden="false" customHeight="false" outlineLevel="0" collapsed="false">
      <c r="A5" s="4" t="s">
        <v>60</v>
      </c>
    </row>
    <row r="6" customFormat="false" ht="30" hidden="false" customHeight="true" outlineLevel="0" collapsed="false">
      <c r="A6" s="9" t="s">
        <v>61</v>
      </c>
      <c r="B6" s="9" t="s">
        <v>62</v>
      </c>
      <c r="C6" s="9" t="s">
        <v>63</v>
      </c>
      <c r="D6" s="9" t="s">
        <v>64</v>
      </c>
    </row>
    <row r="7" customFormat="false" ht="15" hidden="false" customHeight="false" outlineLevel="0" collapsed="false">
      <c r="A7" s="7" t="s">
        <v>65</v>
      </c>
      <c r="B7" s="10" t="n">
        <v>3534.01584635494</v>
      </c>
      <c r="C7" s="10" t="n">
        <v>-3534.01584635494</v>
      </c>
      <c r="D7" s="10" t="n">
        <v>7747.4664126173</v>
      </c>
    </row>
    <row r="8" customFormat="false" ht="15" hidden="false" customHeight="false" outlineLevel="0" collapsed="false">
      <c r="A8" s="7" t="s">
        <v>66</v>
      </c>
      <c r="B8" s="10" t="n">
        <v>2197.99659632747</v>
      </c>
      <c r="C8" s="10" t="n">
        <v>2197.99659632747</v>
      </c>
      <c r="D8" s="10" t="n">
        <v>5403.09722121152</v>
      </c>
    </row>
    <row r="9" customFormat="false" ht="15" hidden="false" customHeight="false" outlineLevel="0" collapsed="false">
      <c r="A9" s="7" t="s">
        <v>67</v>
      </c>
      <c r="B9" s="10" t="n">
        <v>1639.74907824834</v>
      </c>
      <c r="C9" s="10" t="n">
        <v>1639.74907824834</v>
      </c>
      <c r="D9" s="10" t="n">
        <v>1480.44273757531</v>
      </c>
    </row>
    <row r="10" customFormat="false" ht="15" hidden="false" customHeight="false" outlineLevel="0" collapsed="false">
      <c r="A10" s="7" t="s">
        <v>68</v>
      </c>
      <c r="B10" s="10" t="n">
        <v>1126.17238033735</v>
      </c>
      <c r="C10" s="10" t="n">
        <v>1126.17238033735</v>
      </c>
      <c r="D10" s="10" t="n">
        <v>2058.89406643541</v>
      </c>
    </row>
    <row r="11" customFormat="false" ht="15" hidden="false" customHeight="false" outlineLevel="0" collapsed="false">
      <c r="A11" s="7" t="s">
        <v>69</v>
      </c>
      <c r="B11" s="10" t="n">
        <v>843.201931573984</v>
      </c>
      <c r="C11" s="10" t="n">
        <v>-840.34788060145</v>
      </c>
      <c r="D11" s="10" t="n">
        <v>1992.91232793356</v>
      </c>
    </row>
    <row r="12" customFormat="false" ht="15" hidden="false" customHeight="false" outlineLevel="0" collapsed="false">
      <c r="A12" s="7" t="s">
        <v>70</v>
      </c>
      <c r="B12" s="10" t="n">
        <v>751.868957450101</v>
      </c>
      <c r="C12" s="10" t="n">
        <v>-751.868957450101</v>
      </c>
      <c r="D12" s="10" t="n">
        <v>488.200865596867</v>
      </c>
    </row>
    <row r="13" customFormat="false" ht="15" hidden="false" customHeight="false" outlineLevel="0" collapsed="false">
      <c r="A13" s="7" t="s">
        <v>71</v>
      </c>
      <c r="B13" s="10" t="n">
        <v>603.922294934671</v>
      </c>
      <c r="C13" s="10" t="n">
        <v>-603.922294934671</v>
      </c>
      <c r="D13" s="10" t="n">
        <v>450.759704705532</v>
      </c>
    </row>
    <row r="14" customFormat="false" ht="15" hidden="false" customHeight="false" outlineLevel="0" collapsed="false">
      <c r="A14" s="7" t="s">
        <v>72</v>
      </c>
      <c r="B14" s="10" t="n">
        <v>193.915890495721</v>
      </c>
      <c r="C14" s="10" t="n">
        <v>167.032336243533</v>
      </c>
      <c r="D14" s="10" t="n">
        <v>543.809561769563</v>
      </c>
    </row>
    <row r="15" customFormat="false" ht="15" hidden="false" customHeight="false" outlineLevel="0" collapsed="false">
      <c r="A15" s="7" t="s">
        <v>73</v>
      </c>
      <c r="B15" s="17" t="n">
        <f aca="false">RANK(INDEX(B7:B14,MATCH("exposed mass t (m)",A7:A14,0)),B7:B14)</f>
        <v>6</v>
      </c>
    </row>
    <row r="18" customFormat="false" ht="15" hidden="false" customHeight="false" outlineLevel="0" collapsed="false">
      <c r="A18" s="4" t="s">
        <v>74</v>
      </c>
    </row>
    <row r="19" customFormat="false" ht="30" hidden="false" customHeight="true" outlineLevel="0" collapsed="false">
      <c r="A19" s="9" t="s">
        <v>61</v>
      </c>
      <c r="B19" s="9" t="s">
        <v>62</v>
      </c>
      <c r="C19" s="9" t="s">
        <v>63</v>
      </c>
      <c r="D19" s="9" t="s">
        <v>64</v>
      </c>
    </row>
    <row r="20" customFormat="false" ht="15" hidden="false" customHeight="false" outlineLevel="0" collapsed="false">
      <c r="A20" s="7" t="s">
        <v>65</v>
      </c>
      <c r="B20" s="10" t="n">
        <v>326.4</v>
      </c>
      <c r="C20" s="10" t="n">
        <v>-326.4</v>
      </c>
      <c r="D20" s="10" t="n">
        <v>523.710215672752</v>
      </c>
    </row>
    <row r="21" customFormat="false" ht="15" hidden="false" customHeight="false" outlineLevel="0" collapsed="false">
      <c r="A21" s="7" t="s">
        <v>67</v>
      </c>
      <c r="B21" s="10" t="n">
        <v>249.3</v>
      </c>
      <c r="C21" s="10" t="n">
        <v>249.3</v>
      </c>
      <c r="D21" s="10" t="n">
        <v>238.62430722791</v>
      </c>
    </row>
    <row r="22" customFormat="false" ht="15" hidden="false" customHeight="false" outlineLevel="0" collapsed="false">
      <c r="A22" s="7" t="s">
        <v>71</v>
      </c>
      <c r="B22" s="10" t="n">
        <v>152.7</v>
      </c>
      <c r="C22" s="10" t="n">
        <v>-152.7</v>
      </c>
      <c r="D22" s="10" t="n">
        <v>136.53757724524</v>
      </c>
    </row>
    <row r="23" customFormat="false" ht="15" hidden="false" customHeight="false" outlineLevel="0" collapsed="false">
      <c r="A23" s="7" t="s">
        <v>66</v>
      </c>
      <c r="B23" s="10" t="n">
        <v>138.3</v>
      </c>
      <c r="C23" s="10" t="n">
        <v>138.3</v>
      </c>
      <c r="D23" s="10" t="n">
        <v>221.612296590239</v>
      </c>
    </row>
    <row r="24" customFormat="false" ht="15" hidden="false" customHeight="false" outlineLevel="0" collapsed="false">
      <c r="A24" s="7" t="s">
        <v>68</v>
      </c>
      <c r="B24" s="10" t="n">
        <v>132.45</v>
      </c>
      <c r="C24" s="10" t="n">
        <v>132.45</v>
      </c>
      <c r="D24" s="10" t="n">
        <v>222.458698413885</v>
      </c>
    </row>
    <row r="25" customFormat="false" ht="15" hidden="false" customHeight="false" outlineLevel="0" collapsed="false">
      <c r="A25" s="7" t="s">
        <v>69</v>
      </c>
      <c r="B25" s="10" t="n">
        <v>120.3</v>
      </c>
      <c r="C25" s="10" t="n">
        <v>-119.7</v>
      </c>
      <c r="D25" s="10" t="n">
        <v>237.575377512065</v>
      </c>
    </row>
    <row r="26" customFormat="false" ht="15" hidden="false" customHeight="false" outlineLevel="0" collapsed="false">
      <c r="A26" s="7" t="s">
        <v>70</v>
      </c>
      <c r="B26" s="10" t="n">
        <v>77.55</v>
      </c>
      <c r="C26" s="10" t="n">
        <v>-77.55</v>
      </c>
      <c r="D26" s="10" t="n">
        <v>54.7656142118392</v>
      </c>
    </row>
    <row r="27" customFormat="false" ht="15" hidden="false" customHeight="false" outlineLevel="0" collapsed="false">
      <c r="A27" s="7" t="s">
        <v>72</v>
      </c>
      <c r="B27" s="10" t="n">
        <v>23.7</v>
      </c>
      <c r="C27" s="10" t="n">
        <v>20.1</v>
      </c>
      <c r="D27" s="10" t="n">
        <v>64.4169232422661</v>
      </c>
    </row>
    <row r="28" customFormat="false" ht="15" hidden="false" customHeight="false" outlineLevel="0" collapsed="false">
      <c r="A28" s="7" t="s">
        <v>73</v>
      </c>
      <c r="B28" s="17" t="n">
        <f aca="false">RANK(INDEX(B20:B27,MATCH("exposed mass t (m)",A20:A27,0)),B20:B27)</f>
        <v>7</v>
      </c>
    </row>
    <row r="31" customFormat="false" ht="15" hidden="false" customHeight="false" outlineLevel="0" collapsed="false">
      <c r="A31" s="4" t="s">
        <v>75</v>
      </c>
    </row>
    <row r="32" customFormat="false" ht="30" hidden="false" customHeight="true" outlineLevel="0" collapsed="false">
      <c r="A32" s="9" t="s">
        <v>61</v>
      </c>
      <c r="B32" s="9" t="s">
        <v>62</v>
      </c>
      <c r="C32" s="9" t="s">
        <v>63</v>
      </c>
      <c r="D32" s="9" t="s">
        <v>64</v>
      </c>
    </row>
    <row r="33" customFormat="false" ht="15" hidden="false" customHeight="false" outlineLevel="0" collapsed="false">
      <c r="A33" s="7" t="s">
        <v>69</v>
      </c>
      <c r="B33" s="11" t="n">
        <v>26.2573097825069</v>
      </c>
      <c r="C33" s="11" t="n">
        <v>26.2573097825069</v>
      </c>
      <c r="D33" s="11" t="n">
        <v>4.55872687604973</v>
      </c>
    </row>
    <row r="34" customFormat="false" ht="15" hidden="false" customHeight="false" outlineLevel="0" collapsed="false">
      <c r="A34" s="7" t="s">
        <v>66</v>
      </c>
      <c r="B34" s="11" t="n">
        <v>10.584022247706</v>
      </c>
      <c r="C34" s="11" t="n">
        <v>-10.584022247706</v>
      </c>
      <c r="D34" s="11" t="n">
        <v>3.46795443133886</v>
      </c>
    </row>
    <row r="35" customFormat="false" ht="15" hidden="false" customHeight="false" outlineLevel="0" collapsed="false">
      <c r="A35" s="7" t="s">
        <v>68</v>
      </c>
      <c r="B35" s="11" t="n">
        <v>10.3205862140996</v>
      </c>
      <c r="C35" s="11" t="n">
        <v>-10.3205862140996</v>
      </c>
      <c r="D35" s="11" t="n">
        <v>2.11207518343159</v>
      </c>
    </row>
    <row r="36" customFormat="false" ht="15" hidden="false" customHeight="false" outlineLevel="0" collapsed="false">
      <c r="A36" s="7" t="s">
        <v>72</v>
      </c>
      <c r="B36" s="11" t="n">
        <v>7.90359432082977</v>
      </c>
      <c r="C36" s="11" t="n">
        <v>-7.90359432082977</v>
      </c>
      <c r="D36" s="11" t="n">
        <v>2.69128661048553</v>
      </c>
    </row>
    <row r="37" customFormat="false" ht="15" hidden="false" customHeight="false" outlineLevel="0" collapsed="false">
      <c r="A37" s="7" t="s">
        <v>65</v>
      </c>
      <c r="B37" s="11" t="n">
        <v>3.08256689291972</v>
      </c>
      <c r="C37" s="11" t="n">
        <v>3.08256689291972</v>
      </c>
      <c r="D37" s="11" t="n">
        <v>2.37009940406157</v>
      </c>
    </row>
    <row r="38" customFormat="false" ht="15" hidden="false" customHeight="false" outlineLevel="0" collapsed="false">
      <c r="A38" s="7" t="s">
        <v>67</v>
      </c>
      <c r="B38" s="11" t="n">
        <v>2.97122088420171</v>
      </c>
      <c r="C38" s="11" t="n">
        <v>-1.90364924147086</v>
      </c>
      <c r="D38" s="11" t="n">
        <v>2.78163694607826</v>
      </c>
    </row>
    <row r="39" customFormat="false" ht="15" hidden="false" customHeight="false" outlineLevel="0" collapsed="false">
      <c r="A39" s="7" t="s">
        <v>70</v>
      </c>
      <c r="B39" s="11" t="n">
        <v>1.46708652476858</v>
      </c>
      <c r="C39" s="11" t="n">
        <v>-1.12014182974953</v>
      </c>
      <c r="D39" s="11" t="n">
        <v>3.15205349486398</v>
      </c>
    </row>
    <row r="40" customFormat="false" ht="15" hidden="false" customHeight="false" outlineLevel="0" collapsed="false">
      <c r="A40" s="7" t="s">
        <v>71</v>
      </c>
      <c r="B40" s="11" t="n">
        <v>0.127164387710402</v>
      </c>
      <c r="C40" s="11" t="n">
        <v>-0.0351339229198158</v>
      </c>
      <c r="D40" s="11" t="n">
        <v>0.203930000814879</v>
      </c>
    </row>
    <row r="41" customFormat="false" ht="15" hidden="false" customHeight="false" outlineLevel="0" collapsed="false">
      <c r="A41" s="7" t="s">
        <v>73</v>
      </c>
      <c r="B41" s="17" t="n">
        <f aca="false">RANK(INDEX(B33:B40,MATCH("exposed mass t (m)",A33:A40,0)),B33:B40)</f>
        <v>7</v>
      </c>
    </row>
    <row r="44" customFormat="false" ht="15" hidden="false" customHeight="false" outlineLevel="0" collapsed="false">
      <c r="A44" s="4" t="s">
        <v>76</v>
      </c>
    </row>
    <row r="45" customFormat="false" ht="30" hidden="false" customHeight="true" outlineLevel="0" collapsed="false">
      <c r="A45" s="9" t="s">
        <v>61</v>
      </c>
      <c r="B45" s="9" t="s">
        <v>62</v>
      </c>
      <c r="C45" s="9" t="s">
        <v>63</v>
      </c>
      <c r="D45" s="9" t="s">
        <v>64</v>
      </c>
    </row>
    <row r="46" customFormat="false" ht="15" hidden="false" customHeight="false" outlineLevel="0" collapsed="false">
      <c r="A46" s="7" t="s">
        <v>69</v>
      </c>
      <c r="B46" s="12" t="n">
        <v>1.54339535310777</v>
      </c>
      <c r="C46" s="12" t="n">
        <v>1.54339535310777</v>
      </c>
      <c r="D46" s="12" t="n">
        <v>0.679194844132517</v>
      </c>
    </row>
    <row r="47" customFormat="false" ht="15" hidden="false" customHeight="false" outlineLevel="0" collapsed="false">
      <c r="A47" s="7" t="s">
        <v>70</v>
      </c>
      <c r="B47" s="12" t="n">
        <v>0.636982767525374</v>
      </c>
      <c r="C47" s="12" t="n">
        <v>-0.636982767525374</v>
      </c>
      <c r="D47" s="12" t="n">
        <v>0.572960165196313</v>
      </c>
    </row>
    <row r="48" customFormat="false" ht="15" hidden="false" customHeight="false" outlineLevel="0" collapsed="false">
      <c r="A48" s="7" t="s">
        <v>68</v>
      </c>
      <c r="B48" s="12" t="n">
        <v>0.411379921512546</v>
      </c>
      <c r="C48" s="12" t="n">
        <v>-0.411379921512546</v>
      </c>
      <c r="D48" s="12" t="n">
        <v>0.11650784282154</v>
      </c>
    </row>
    <row r="49" customFormat="false" ht="15" hidden="false" customHeight="false" outlineLevel="0" collapsed="false">
      <c r="A49" s="7" t="s">
        <v>72</v>
      </c>
      <c r="B49" s="12" t="n">
        <v>0.402987053415471</v>
      </c>
      <c r="C49" s="12" t="n">
        <v>-0.402987053415471</v>
      </c>
      <c r="D49" s="12" t="n">
        <v>0.288302764288469</v>
      </c>
    </row>
    <row r="50" customFormat="false" ht="15" hidden="false" customHeight="false" outlineLevel="0" collapsed="false">
      <c r="A50" s="7" t="s">
        <v>67</v>
      </c>
      <c r="B50" s="12" t="n">
        <v>0.315974162580271</v>
      </c>
      <c r="C50" s="12" t="n">
        <v>0.315974162580271</v>
      </c>
      <c r="D50" s="12" t="n">
        <v>0.226321273641581</v>
      </c>
    </row>
    <row r="51" customFormat="false" ht="15" hidden="false" customHeight="false" outlineLevel="0" collapsed="false">
      <c r="A51" s="7" t="s">
        <v>66</v>
      </c>
      <c r="B51" s="12" t="n">
        <v>0.22116998336824</v>
      </c>
      <c r="C51" s="12" t="n">
        <v>-0.082156981480025</v>
      </c>
      <c r="D51" s="12" t="n">
        <v>0.294745569581783</v>
      </c>
    </row>
    <row r="52" customFormat="false" ht="15" hidden="false" customHeight="false" outlineLevel="0" collapsed="false">
      <c r="A52" s="7" t="s">
        <v>65</v>
      </c>
      <c r="B52" s="12" t="n">
        <v>0.00953521248665186</v>
      </c>
      <c r="C52" s="12" t="n">
        <v>0.00953521248665186</v>
      </c>
      <c r="D52" s="12" t="n">
        <v>0.0286056374599556</v>
      </c>
    </row>
    <row r="53" customFormat="false" ht="15" hidden="false" customHeight="false" outlineLevel="0" collapsed="false">
      <c r="A53" s="7" t="s">
        <v>71</v>
      </c>
      <c r="B53" s="12" t="n">
        <v>0.00322839084197581</v>
      </c>
      <c r="C53" s="12" t="n">
        <v>0.00322839084197581</v>
      </c>
      <c r="D53" s="12" t="n">
        <v>0.00968517252592744</v>
      </c>
    </row>
    <row r="54" customFormat="false" ht="15" hidden="false" customHeight="false" outlineLevel="0" collapsed="false">
      <c r="A54" s="7" t="s">
        <v>73</v>
      </c>
      <c r="B54" s="17" t="n">
        <f aca="false">RANK(INDEX(B46:B53,MATCH("exposed mass t (m)",A46:A53,0)),B46:B53)</f>
        <v>2</v>
      </c>
    </row>
    <row r="57" customFormat="false" ht="15" hidden="false" customHeight="false" outlineLevel="0" collapsed="false">
      <c r="A57" s="8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9" min="2" style="0" width="11"/>
  </cols>
  <sheetData>
    <row r="1" customFormat="false" ht="15" hidden="false" customHeight="false" outlineLevel="0" collapsed="false">
      <c r="A1" s="4" t="s">
        <v>78</v>
      </c>
    </row>
    <row r="2" customFormat="false" ht="15" hidden="false" customHeight="false" outlineLevel="0" collapsed="false">
      <c r="A2" s="8" t="s">
        <v>79</v>
      </c>
    </row>
    <row r="4" customFormat="false" ht="30" hidden="false" customHeight="true" outlineLevel="0" collapsed="false">
      <c r="A4" s="9" t="s">
        <v>80</v>
      </c>
      <c r="B4" s="9" t="s">
        <v>81</v>
      </c>
      <c r="C4" s="9" t="s">
        <v>82</v>
      </c>
      <c r="D4" s="9" t="s">
        <v>83</v>
      </c>
      <c r="E4" s="9" t="s">
        <v>84</v>
      </c>
      <c r="F4" s="9" t="s">
        <v>85</v>
      </c>
      <c r="G4" s="9" t="s">
        <v>86</v>
      </c>
      <c r="H4" s="9" t="s">
        <v>87</v>
      </c>
      <c r="I4" s="9" t="s">
        <v>88</v>
      </c>
      <c r="J4" s="9" t="s">
        <v>89</v>
      </c>
      <c r="K4" s="9" t="s">
        <v>90</v>
      </c>
      <c r="L4" s="9" t="s">
        <v>91</v>
      </c>
      <c r="M4" s="9" t="s">
        <v>92</v>
      </c>
      <c r="N4" s="9" t="s">
        <v>93</v>
      </c>
      <c r="O4" s="9" t="s">
        <v>94</v>
      </c>
      <c r="P4" s="9" t="s">
        <v>95</v>
      </c>
      <c r="Q4" s="9" t="s">
        <v>96</v>
      </c>
    </row>
    <row r="5" customFormat="false" ht="15" hidden="false" customHeight="false" outlineLevel="0" collapsed="false">
      <c r="A5" s="7" t="s">
        <v>97</v>
      </c>
      <c r="B5" s="10" t="n">
        <v>70.5571026779558</v>
      </c>
      <c r="C5" s="10" t="n">
        <v>61.546420242738</v>
      </c>
      <c r="D5" s="11" t="n">
        <v>26.2767241417157</v>
      </c>
      <c r="E5" s="11" t="n">
        <v>27.3694451040798</v>
      </c>
      <c r="F5" s="12" t="n">
        <v>5.82511066034605</v>
      </c>
      <c r="G5" s="12" t="n">
        <v>5.85957709113188</v>
      </c>
      <c r="H5" s="10" t="n">
        <v>3068.83138097119</v>
      </c>
      <c r="I5" s="10" t="n">
        <v>3069.00296823459</v>
      </c>
      <c r="J5" s="10" t="n">
        <v>2257.09656562818</v>
      </c>
      <c r="K5" s="10" t="n">
        <v>2436.93939387024</v>
      </c>
      <c r="L5" s="10" t="n">
        <v>134</v>
      </c>
      <c r="M5" s="10" t="n">
        <v>117</v>
      </c>
      <c r="N5" s="10" t="n">
        <v>4569.28694006376</v>
      </c>
      <c r="O5" s="11" t="n">
        <v>5.32873106794708</v>
      </c>
      <c r="P5" s="19" t="n">
        <f aca="false">E5/D5</f>
        <v>1.04158512897083</v>
      </c>
      <c r="Q5" s="19" t="n">
        <f aca="false">K5/J5</f>
        <v>1.07967883651092</v>
      </c>
    </row>
    <row r="6" customFormat="false" ht="15" hidden="false" customHeight="false" outlineLevel="0" collapsed="false">
      <c r="A6" s="7" t="s">
        <v>98</v>
      </c>
      <c r="B6" s="10" t="n">
        <v>89.5182080808026</v>
      </c>
      <c r="C6" s="10" t="n">
        <v>58.8152583814744</v>
      </c>
      <c r="D6" s="11" t="n">
        <v>21.3998934080608</v>
      </c>
      <c r="E6" s="11" t="n">
        <v>22.9065554365081</v>
      </c>
      <c r="F6" s="12" t="n">
        <v>5.54913892335474</v>
      </c>
      <c r="G6" s="12" t="n">
        <v>5.24808034692237</v>
      </c>
      <c r="H6" s="10" t="n">
        <v>2561.86605480116</v>
      </c>
      <c r="I6" s="10" t="n">
        <v>2649.52709363243</v>
      </c>
      <c r="J6" s="10" t="n">
        <v>1721.53005494343</v>
      </c>
      <c r="K6" s="10" t="n">
        <v>1945.85262287002</v>
      </c>
      <c r="L6" s="10" t="n">
        <v>121</v>
      </c>
      <c r="M6" s="10" t="n">
        <v>117</v>
      </c>
      <c r="N6" s="10" t="n">
        <v>3792.09744133265</v>
      </c>
      <c r="O6" s="11" t="n">
        <v>4.17383761723099</v>
      </c>
      <c r="P6" s="19" t="n">
        <f aca="false">E6/D6</f>
        <v>1.07040511836754</v>
      </c>
      <c r="Q6" s="19" t="n">
        <f aca="false">K6/J6</f>
        <v>1.13030418335274</v>
      </c>
    </row>
    <row r="7" customFormat="false" ht="15" hidden="false" customHeight="false" outlineLevel="0" collapsed="false">
      <c r="A7" s="7" t="s">
        <v>99</v>
      </c>
      <c r="B7" s="10" t="n">
        <v>98.0669756420376</v>
      </c>
      <c r="C7" s="10" t="n">
        <v>50.3009358723092</v>
      </c>
      <c r="D7" s="11" t="n">
        <v>18.2558555632789</v>
      </c>
      <c r="E7" s="11" t="n">
        <v>19.6168811621154</v>
      </c>
      <c r="F7" s="12" t="n">
        <v>5.36345781365974</v>
      </c>
      <c r="G7" s="12" t="n">
        <v>5.06996722232933</v>
      </c>
      <c r="H7" s="10" t="n">
        <v>2661.05101741164</v>
      </c>
      <c r="I7" s="10" t="n">
        <v>2728.28921482652</v>
      </c>
      <c r="J7" s="10" t="n">
        <v>1709.03998745008</v>
      </c>
      <c r="K7" s="10" t="n">
        <v>1883.23274455065</v>
      </c>
      <c r="L7" s="10" t="n">
        <v>124</v>
      </c>
      <c r="M7" s="10" t="n">
        <v>124</v>
      </c>
      <c r="N7" s="10" t="n">
        <v>3805.51544819677</v>
      </c>
      <c r="O7" s="11" t="n">
        <v>3.98251667616058</v>
      </c>
      <c r="P7" s="19" t="n">
        <f aca="false">E7/D7</f>
        <v>1.0745528246605</v>
      </c>
      <c r="Q7" s="19" t="n">
        <f aca="false">K7/J7</f>
        <v>1.10192433084053</v>
      </c>
    </row>
    <row r="8" customFormat="false" ht="15" hidden="false" customHeight="false" outlineLevel="0" collapsed="false">
      <c r="A8" s="7" t="s">
        <v>100</v>
      </c>
      <c r="B8" s="10" t="n">
        <v>142.904348720224</v>
      </c>
      <c r="C8" s="10" t="n">
        <v>53.0584727487991</v>
      </c>
      <c r="D8" s="11" t="n">
        <v>17.6112062527164</v>
      </c>
      <c r="E8" s="11" t="n">
        <v>19.1735500382673</v>
      </c>
      <c r="F8" s="12" t="n">
        <v>5.02376028685442</v>
      </c>
      <c r="G8" s="12" t="n">
        <v>4.8923561632347</v>
      </c>
      <c r="H8" s="10" t="n">
        <v>2311.22975826453</v>
      </c>
      <c r="I8" s="10" t="n">
        <v>2524.8879345656</v>
      </c>
      <c r="J8" s="10" t="n">
        <v>1311.7957531421</v>
      </c>
      <c r="K8" s="10" t="n">
        <v>1587.1856023298</v>
      </c>
      <c r="L8" s="10" t="n">
        <v>116</v>
      </c>
      <c r="M8" s="10" t="n">
        <v>127</v>
      </c>
      <c r="N8" s="10" t="n">
        <v>3276.66992176899</v>
      </c>
      <c r="O8" s="11" t="n">
        <v>2.83237230038978</v>
      </c>
      <c r="P8" s="19" t="n">
        <f aca="false">E8/D8</f>
        <v>1.08871304799521</v>
      </c>
      <c r="Q8" s="19" t="n">
        <f aca="false">K8/J8</f>
        <v>1.20993348128172</v>
      </c>
    </row>
    <row r="9" customFormat="false" ht="15" hidden="false" customHeight="false" outlineLevel="0" collapsed="false">
      <c r="A9" s="7" t="s">
        <v>101</v>
      </c>
      <c r="B9" s="10" t="n">
        <v>147.109836237402</v>
      </c>
      <c r="C9" s="10" t="n">
        <v>54.6850434836472</v>
      </c>
      <c r="D9" s="11" t="n">
        <v>18.1283447572649</v>
      </c>
      <c r="E9" s="11" t="n">
        <v>19.691786179365</v>
      </c>
      <c r="F9" s="12" t="n">
        <v>5.03096283505663</v>
      </c>
      <c r="G9" s="12" t="n">
        <v>4.95268844971176</v>
      </c>
      <c r="H9" s="10" t="n">
        <v>2259.5411217852</v>
      </c>
      <c r="I9" s="10" t="n">
        <v>2492.4729110916</v>
      </c>
      <c r="J9" s="10" t="n">
        <v>1280.32265767693</v>
      </c>
      <c r="K9" s="10" t="n">
        <v>1565.38099011849</v>
      </c>
      <c r="L9" s="10" t="n">
        <v>117</v>
      </c>
      <c r="M9" s="10" t="n">
        <v>127</v>
      </c>
      <c r="N9" s="10" t="n">
        <v>3222.6451690943</v>
      </c>
      <c r="O9" s="11" t="n">
        <v>2.74680703380766</v>
      </c>
      <c r="P9" s="19" t="n">
        <f aca="false">E9/D9</f>
        <v>1.08624292195643</v>
      </c>
      <c r="Q9" s="19" t="n">
        <f aca="false">K9/J9</f>
        <v>1.22264569851383</v>
      </c>
    </row>
    <row r="10" customFormat="false" ht="15" hidden="false" customHeight="false" outlineLevel="0" collapsed="false">
      <c r="A10" s="7" t="s">
        <v>102</v>
      </c>
      <c r="B10" s="10" t="n">
        <v>124.701187799897</v>
      </c>
      <c r="C10" s="10" t="n">
        <v>53.9327672300565</v>
      </c>
      <c r="D10" s="11" t="n">
        <v>18.4581166026159</v>
      </c>
      <c r="E10" s="11" t="n">
        <v>19.9159960012083</v>
      </c>
      <c r="F10" s="12" t="n">
        <v>5.13687384596566</v>
      </c>
      <c r="G10" s="12" t="n">
        <v>4.96265397210287</v>
      </c>
      <c r="H10" s="10" t="n">
        <v>2305.56444958856</v>
      </c>
      <c r="I10" s="10" t="n">
        <v>2565.69464931599</v>
      </c>
      <c r="J10" s="10" t="n">
        <v>1385.84299201824</v>
      </c>
      <c r="K10" s="10" t="n">
        <v>1673.98254890613</v>
      </c>
      <c r="L10" s="10" t="n">
        <v>111</v>
      </c>
      <c r="M10" s="10" t="n">
        <v>125</v>
      </c>
      <c r="N10" s="10" t="n">
        <v>3370.77103339951</v>
      </c>
      <c r="O10" s="11" t="n">
        <v>3.20319536101662</v>
      </c>
      <c r="P10" s="19" t="n">
        <f aca="false">E10/D10</f>
        <v>1.07898310699727</v>
      </c>
      <c r="Q10" s="19" t="n">
        <f aca="false">K10/J10</f>
        <v>1.20791645124839</v>
      </c>
    </row>
    <row r="11" customFormat="false" ht="15" hidden="false" customHeight="false" outlineLevel="0" collapsed="false">
      <c r="A11" s="7" t="s">
        <v>103</v>
      </c>
      <c r="B11" s="10" t="n">
        <v>138.91977789689</v>
      </c>
      <c r="C11" s="10" t="n">
        <v>55.7742597042984</v>
      </c>
      <c r="D11" s="11" t="n">
        <v>18.8282648009134</v>
      </c>
      <c r="E11" s="11" t="n">
        <v>20.1649567070305</v>
      </c>
      <c r="F11" s="12" t="n">
        <v>4.99045690071519</v>
      </c>
      <c r="G11" s="12" t="n">
        <v>4.9902231762443</v>
      </c>
      <c r="H11" s="10" t="n">
        <v>2068.4471923372</v>
      </c>
      <c r="I11" s="10" t="n">
        <v>2496.80248046368</v>
      </c>
      <c r="J11" s="10" t="n">
        <v>1192.95923377178</v>
      </c>
      <c r="K11" s="10" t="n">
        <v>1599.78453622118</v>
      </c>
      <c r="L11" s="10" t="n">
        <v>100</v>
      </c>
      <c r="M11" s="10" t="n">
        <v>126</v>
      </c>
      <c r="N11" s="10" t="n">
        <v>3129.72156058609</v>
      </c>
      <c r="O11" s="11" t="n">
        <v>2.95553978188734</v>
      </c>
      <c r="P11" s="19" t="n">
        <f aca="false">E11/D11</f>
        <v>1.07099389775165</v>
      </c>
      <c r="Q11" s="19" t="n">
        <f aca="false">K11/J11</f>
        <v>1.3410219653216</v>
      </c>
    </row>
    <row r="12" customFormat="false" ht="15" hidden="false" customHeight="false" outlineLevel="0" collapsed="false">
      <c r="A12" s="7" t="s">
        <v>104</v>
      </c>
      <c r="B12" s="10" t="n">
        <v>244.558670378477</v>
      </c>
      <c r="C12" s="10" t="n">
        <v>56.2638978195655</v>
      </c>
      <c r="D12" s="11" t="n">
        <v>18.8244828687637</v>
      </c>
      <c r="E12" s="11" t="n">
        <v>19.2330781556271</v>
      </c>
      <c r="F12" s="12" t="n">
        <v>4.37369196876626</v>
      </c>
      <c r="G12" s="12" t="n">
        <v>4.49458844919742</v>
      </c>
      <c r="H12" s="10" t="n">
        <v>1826.47442215921</v>
      </c>
      <c r="I12" s="10" t="n">
        <v>2249.02175994447</v>
      </c>
      <c r="J12" s="10" t="n">
        <v>922.580540826394</v>
      </c>
      <c r="K12" s="10" t="n">
        <v>1275.48789494881</v>
      </c>
      <c r="L12" s="10" t="n">
        <v>108</v>
      </c>
      <c r="M12" s="10" t="n">
        <v>121</v>
      </c>
      <c r="N12" s="10" t="n">
        <v>2720.1700727374</v>
      </c>
      <c r="O12" s="11" t="n">
        <v>1.88207669894617</v>
      </c>
      <c r="P12" s="19" t="n">
        <f aca="false">E12/D12</f>
        <v>1.02170552517761</v>
      </c>
      <c r="Q12" s="19" t="n">
        <f aca="false">K12/J12</f>
        <v>1.38252200052507</v>
      </c>
    </row>
    <row r="13" customFormat="false" ht="15" hidden="false" customHeight="false" outlineLevel="0" collapsed="false">
      <c r="A13" s="7" t="s">
        <v>105</v>
      </c>
      <c r="B13" s="10" t="n">
        <v>295.220762204371</v>
      </c>
      <c r="C13" s="10" t="n">
        <v>55.1337173805471</v>
      </c>
      <c r="D13" s="11" t="n">
        <v>18.5305254172248</v>
      </c>
      <c r="E13" s="11" t="n">
        <v>18.6498639080547</v>
      </c>
      <c r="F13" s="12" t="n">
        <v>4.07544226004389</v>
      </c>
      <c r="G13" s="12" t="n">
        <v>4.26617761540843</v>
      </c>
      <c r="H13" s="10" t="n">
        <v>1545.37481287222</v>
      </c>
      <c r="I13" s="10" t="n">
        <v>2227.98625683438</v>
      </c>
      <c r="J13" s="10" t="n">
        <v>682.995544881575</v>
      </c>
      <c r="K13" s="10" t="n">
        <v>1208.19149981313</v>
      </c>
      <c r="L13" s="10" t="n">
        <v>119</v>
      </c>
      <c r="M13" s="10" t="n">
        <v>126</v>
      </c>
      <c r="N13" s="10" t="n">
        <v>2404.98696685561</v>
      </c>
      <c r="O13" s="11" t="n">
        <v>1.32097794155135</v>
      </c>
      <c r="P13" s="19" t="n">
        <f aca="false">E13/D13</f>
        <v>1.00644010291899</v>
      </c>
      <c r="Q13" s="19" t="n">
        <f aca="false">K13/J13</f>
        <v>1.76895956184109</v>
      </c>
    </row>
    <row r="14" customFormat="false" ht="15" hidden="false" customHeight="false" outlineLevel="0" collapsed="false">
      <c r="A14" s="7" t="s">
        <v>106</v>
      </c>
      <c r="B14" s="10" t="n">
        <v>107.85522736701</v>
      </c>
      <c r="C14" s="10" t="n">
        <v>55.9332398205875</v>
      </c>
      <c r="D14" s="11" t="n">
        <v>18.9792672656205</v>
      </c>
      <c r="E14" s="11" t="n">
        <v>20.8362390186828</v>
      </c>
      <c r="F14" s="12" t="n">
        <v>5.17609778599998</v>
      </c>
      <c r="G14" s="12" t="n">
        <v>4.9160368110325</v>
      </c>
      <c r="H14" s="10" t="n">
        <v>2150.95941143105</v>
      </c>
      <c r="I14" s="10" t="n">
        <v>2589.53360370976</v>
      </c>
      <c r="J14" s="10" t="n">
        <v>1344.41208179853</v>
      </c>
      <c r="K14" s="10" t="n">
        <v>1776.95131802948</v>
      </c>
      <c r="L14" s="10" t="n">
        <v>101</v>
      </c>
      <c r="M14" s="10" t="n">
        <v>120</v>
      </c>
      <c r="N14" s="10" t="n">
        <v>3338.65921242809</v>
      </c>
      <c r="O14" s="11" t="n">
        <v>3.58845238089724</v>
      </c>
      <c r="P14" s="19" t="n">
        <f aca="false">E14/D14</f>
        <v>1.09784212040821</v>
      </c>
      <c r="Q14" s="19" t="n">
        <f aca="false">K14/J14</f>
        <v>1.32173114336514</v>
      </c>
    </row>
    <row r="15" customFormat="false" ht="15" hidden="false" customHeight="false" outlineLevel="0" collapsed="false">
      <c r="A15" s="7" t="s">
        <v>107</v>
      </c>
      <c r="B15" s="10" t="n">
        <v>129.787504745968</v>
      </c>
      <c r="C15" s="10" t="n">
        <v>57.0795837458421</v>
      </c>
      <c r="D15" s="11" t="n">
        <v>19.7126734160345</v>
      </c>
      <c r="E15" s="11" t="n">
        <v>20.8859036223783</v>
      </c>
      <c r="F15" s="12" t="n">
        <v>5.26026169509182</v>
      </c>
      <c r="G15" s="12" t="n">
        <v>5.0672902556324</v>
      </c>
      <c r="H15" s="10" t="n">
        <v>2211.00806403051</v>
      </c>
      <c r="I15" s="10" t="n">
        <v>2507.48276319008</v>
      </c>
      <c r="J15" s="10" t="n">
        <v>1327.39621977069</v>
      </c>
      <c r="K15" s="10" t="n">
        <v>1640.20605909618</v>
      </c>
      <c r="L15" s="10" t="n">
        <v>108</v>
      </c>
      <c r="M15" s="10" t="n">
        <v>124</v>
      </c>
      <c r="N15" s="10" t="n">
        <v>3283.89082314122</v>
      </c>
      <c r="O15" s="11" t="n">
        <v>3.12642175263794</v>
      </c>
      <c r="P15" s="19" t="n">
        <f aca="false">E15/D15</f>
        <v>1.0595165445895</v>
      </c>
      <c r="Q15" s="19" t="n">
        <f aca="false">K15/J15</f>
        <v>1.23565672002556</v>
      </c>
    </row>
    <row r="16" customFormat="false" ht="15" hidden="false" customHeight="false" outlineLevel="0" collapsed="false">
      <c r="A16" s="7" t="s">
        <v>108</v>
      </c>
      <c r="B16" s="10" t="n">
        <v>220.222271665563</v>
      </c>
      <c r="C16" s="10" t="n">
        <v>216.757857952878</v>
      </c>
      <c r="D16" s="11" t="n">
        <v>87.2790884383451</v>
      </c>
      <c r="E16" s="11" t="n">
        <v>85.5787707482883</v>
      </c>
      <c r="F16" s="12" t="n">
        <v>6</v>
      </c>
      <c r="G16" s="12" t="n">
        <v>6</v>
      </c>
      <c r="H16" s="10" t="n">
        <v>1362.65609806936</v>
      </c>
      <c r="I16" s="10" t="n">
        <v>1550.6278573621</v>
      </c>
      <c r="J16" s="10" t="n">
        <v>1046.61923547654</v>
      </c>
      <c r="K16" s="10" t="n">
        <v>1246.08812940264</v>
      </c>
      <c r="L16" s="10" t="n">
        <v>95</v>
      </c>
      <c r="M16" s="10" t="n">
        <v>97</v>
      </c>
      <c r="N16" s="10" t="n">
        <v>2488.48315220835</v>
      </c>
      <c r="O16" s="11" t="n">
        <v>2.43993531518008</v>
      </c>
      <c r="P16" s="19" t="n">
        <f aca="false">E16/D16</f>
        <v>0.98051861310103</v>
      </c>
      <c r="Q16" s="19" t="n">
        <f aca="false">K16/J16</f>
        <v>1.19058401294839</v>
      </c>
    </row>
    <row r="17" customFormat="false" ht="15" hidden="false" customHeight="false" outlineLevel="0" collapsed="false">
      <c r="A17" s="7" t="s">
        <v>109</v>
      </c>
      <c r="B17" s="10" t="n">
        <v>168.781051456179</v>
      </c>
      <c r="C17" s="10" t="n">
        <v>61.3805834071317</v>
      </c>
      <c r="D17" s="11" t="n">
        <v>23.0797258834846</v>
      </c>
      <c r="E17" s="11" t="n">
        <v>23.2876147933384</v>
      </c>
      <c r="F17" s="12" t="n">
        <v>5.44118277258724</v>
      </c>
      <c r="G17" s="12" t="n">
        <v>5.2687763238181</v>
      </c>
      <c r="H17" s="10" t="n">
        <v>2405.68656524429</v>
      </c>
      <c r="I17" s="10" t="n">
        <v>2625.00088524712</v>
      </c>
      <c r="J17" s="10" t="n">
        <v>1401.99651375078</v>
      </c>
      <c r="K17" s="10" t="n">
        <v>1625.24066288741</v>
      </c>
      <c r="L17" s="10" t="n">
        <v>121</v>
      </c>
      <c r="M17" s="10" t="n">
        <v>134</v>
      </c>
      <c r="N17" s="10" t="n">
        <v>3487.26735239704</v>
      </c>
      <c r="O17" s="11" t="n">
        <v>2.7936455521469</v>
      </c>
      <c r="P17" s="19" t="n">
        <f aca="false">E17/D17</f>
        <v>1.00900742543059</v>
      </c>
      <c r="Q17" s="19" t="n">
        <f aca="false">K17/J17</f>
        <v>1.15923302729148</v>
      </c>
    </row>
    <row r="18" customFormat="false" ht="15" hidden="false" customHeight="false" outlineLevel="0" collapsed="false">
      <c r="A18" s="7" t="s">
        <v>110</v>
      </c>
      <c r="B18" s="10" t="n">
        <v>214.163953425642</v>
      </c>
      <c r="C18" s="10" t="n">
        <v>64.3455758137164</v>
      </c>
      <c r="D18" s="11" t="n">
        <v>24.0128811770232</v>
      </c>
      <c r="E18" s="11" t="n">
        <v>24.1660990067496</v>
      </c>
      <c r="F18" s="12" t="n">
        <v>5.18636329703771</v>
      </c>
      <c r="G18" s="12" t="n">
        <v>5.31308137216981</v>
      </c>
      <c r="H18" s="10" t="n">
        <v>1985.57771850419</v>
      </c>
      <c r="I18" s="10" t="n">
        <v>2485.4561819918</v>
      </c>
      <c r="J18" s="10" t="n">
        <v>1071.46226467238</v>
      </c>
      <c r="K18" s="10" t="n">
        <v>1482.47767421076</v>
      </c>
      <c r="L18" s="10" t="n">
        <v>114</v>
      </c>
      <c r="M18" s="10" t="n">
        <v>133</v>
      </c>
      <c r="N18" s="10" t="n">
        <v>3049.22038325071</v>
      </c>
      <c r="O18" s="11" t="n">
        <v>2.24902442431621</v>
      </c>
      <c r="P18" s="19" t="n">
        <f aca="false">E18/D18</f>
        <v>1.00638065164263</v>
      </c>
      <c r="Q18" s="19" t="n">
        <f aca="false">K18/J18</f>
        <v>1.38360231908311</v>
      </c>
    </row>
    <row r="20" customFormat="false" ht="15" hidden="false" customHeight="false" outlineLevel="0" collapsed="false">
      <c r="A20" s="8" t="s">
        <v>111</v>
      </c>
    </row>
    <row r="21" customFormat="false" ht="15" hidden="false" customHeight="false" outlineLevel="0" collapsed="false">
      <c r="A21" s="8" t="s">
        <v>112</v>
      </c>
    </row>
  </sheetData>
  <conditionalFormatting sqref="D5:D18">
    <cfRule type="colorScale" priority="2">
      <colorScale>
        <cfvo type="min" val="0"/>
        <cfvo type="percentile" val="50"/>
        <cfvo type="max" val="0"/>
        <color rgb="FF5B8DB8"/>
        <color rgb="FFF6F1E3"/>
        <color rgb="FFC8553D"/>
      </colorScale>
    </cfRule>
  </conditionalFormatting>
  <conditionalFormatting sqref="H5:H18">
    <cfRule type="colorScale" priority="3">
      <colorScale>
        <cfvo type="min" val="0"/>
        <cfvo type="percentile" val="50"/>
        <cfvo type="max" val="0"/>
        <color rgb="FF5B8DB8"/>
        <color rgb="FFF6F1E3"/>
        <color rgb="FFC8553D"/>
      </colorScale>
    </cfRule>
  </conditionalFormatting>
  <conditionalFormatting sqref="J5:J18">
    <cfRule type="colorScale" priority="4">
      <colorScale>
        <cfvo type="min" val="0"/>
        <cfvo type="percentile" val="50"/>
        <cfvo type="max" val="0"/>
        <color rgb="FF5B8DB8"/>
        <color rgb="FFF6F1E3"/>
        <color rgb="FFC8553D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2026-10-18T22:41:58Z</dcterms:created>
  <dc:creator>openpyxl</dc:creator>
  <dc:description/>
  <dc:language>en-US</dc:language>
  <cp:lastModifiedBy/>
  <dcterms:modified xsi:type="dcterms:W3CDTF">2026-10-18T22:42:00Z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